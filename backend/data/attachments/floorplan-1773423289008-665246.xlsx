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pin\Downloads\"/>
    </mc:Choice>
  </mc:AlternateContent>
  <xr:revisionPtr revIDLastSave="0" documentId="13_ncr:1_{07CD3854-ABA4-4405-9CC2-C0760887239B}" xr6:coauthVersionLast="47" xr6:coauthVersionMax="47" xr10:uidLastSave="{00000000-0000-0000-0000-000000000000}"/>
  <bookViews>
    <workbookView xWindow="-120" yWindow="-120" windowWidth="30960" windowHeight="15720" xr2:uid="{00000000-000D-0000-FFFF-FFFF00000000}"/>
  </bookViews>
  <sheets>
    <sheet name="Pozycje" sheetId="2" r:id="rId1"/>
    <sheet name="Podsumowani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" l="1"/>
  <c r="B8" i="3"/>
  <c r="J135" i="2"/>
  <c r="J134" i="2"/>
  <c r="J133" i="2"/>
  <c r="J132" i="2"/>
  <c r="J131" i="2"/>
  <c r="B14" i="3" s="1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B13" i="3" s="1"/>
  <c r="J97" i="2"/>
  <c r="J96" i="2"/>
  <c r="J95" i="2"/>
  <c r="J94" i="2"/>
  <c r="B12" i="3" s="1"/>
  <c r="J93" i="2"/>
  <c r="J92" i="2"/>
  <c r="J91" i="2"/>
  <c r="J90" i="2"/>
  <c r="J89" i="2"/>
  <c r="J88" i="2"/>
  <c r="J87" i="2"/>
  <c r="J86" i="2"/>
  <c r="J85" i="2"/>
  <c r="B11" i="3" s="1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B10" i="3" s="1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B7" i="3" s="1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B6" i="3" s="1"/>
  <c r="B16" i="3" l="1"/>
  <c r="B17" i="3"/>
  <c r="B18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Żółte pola są do edycji przez wykonawcę.</t>
        </r>
      </text>
    </comment>
    <comment ref="I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Wpisz cenę jednostkową netto w PLN.</t>
        </r>
      </text>
    </comment>
  </commentList>
</comments>
</file>

<file path=xl/sharedStrings.xml><?xml version="1.0" encoding="utf-8"?>
<sst xmlns="http://schemas.openxmlformats.org/spreadsheetml/2006/main" count="921" uniqueCount="389">
  <si>
    <t/>
  </si>
  <si>
    <t>ID</t>
  </si>
  <si>
    <t>Sekcja</t>
  </si>
  <si>
    <t>Podsekcja</t>
  </si>
  <si>
    <t>Lp./Ref</t>
  </si>
  <si>
    <t>Pozycja</t>
  </si>
  <si>
    <t>Ilość z dokumentu</t>
  </si>
  <si>
    <t>Ilość do wyceny</t>
  </si>
  <si>
    <t>Opis / zakres</t>
  </si>
  <si>
    <t>Cena jedn. netto [PLN]</t>
  </si>
  <si>
    <t>Wartość netto [PLN]</t>
  </si>
  <si>
    <t>Uwagi wykonawcy</t>
  </si>
  <si>
    <t>AUT-001</t>
  </si>
  <si>
    <t>Automatyka KNX</t>
  </si>
  <si>
    <t>Urządzenia systemowe</t>
  </si>
  <si>
    <t>Obwody oświetlenia On/Off</t>
  </si>
  <si>
    <t>Sterowanie oświetleniem klasycznym, w domu oraz terenie zewnętrznym.</t>
  </si>
  <si>
    <t>AUT-002</t>
  </si>
  <si>
    <t>Obwody oświetlenia ściemnianego fazowo</t>
  </si>
  <si>
    <t>Sterowanie oświetleniem ściemnianym klasycznie.</t>
  </si>
  <si>
    <t>AUT-003</t>
  </si>
  <si>
    <t>Obwody oświetlenia ściemnianego LED RGBW</t>
  </si>
  <si>
    <t>Sterowanie ściemnianymi paskami LED RGBW (ustawianie koloru).</t>
  </si>
  <si>
    <t>AUT-004</t>
  </si>
  <si>
    <t>Obwody oświetlenia ściemnianego LED MONO</t>
  </si>
  <si>
    <t>Sterowanie ściemnianymi paskami LED jednobarwnymi.</t>
  </si>
  <si>
    <t>AUT-005</t>
  </si>
  <si>
    <t>Inne elementy sterowane</t>
  </si>
  <si>
    <t>Inne obwody sterowane impulsowo lub napięciowo: bramy, furtki, zawory, itp.</t>
  </si>
  <si>
    <t>AUT-006</t>
  </si>
  <si>
    <t>Przesłony okienne</t>
  </si>
  <si>
    <t>Sterowanie mechanizmami żaluzji, rolet, zasłon, firan, itp.</t>
  </si>
  <si>
    <t>AUT-007</t>
  </si>
  <si>
    <t>Strefy ogrzewania / chłodzenia</t>
  </si>
  <si>
    <t>Sterowanie temperaturą w pomieszczeniach.</t>
  </si>
  <si>
    <t>AUT-008</t>
  </si>
  <si>
    <t>Multisensor (T, H, M)</t>
  </si>
  <si>
    <t>Sufitowe czujniki temperatury, wilgotności, ruchu.</t>
  </si>
  <si>
    <t>AUT-009</t>
  </si>
  <si>
    <t>Czujnik ruchu - wewnętrzny</t>
  </si>
  <si>
    <t>Sufitowy, wewnętrzny czujnik ruchu.</t>
  </si>
  <si>
    <t>AUT-010</t>
  </si>
  <si>
    <t>Czujnik jakości powietrza (T, H, CO2, VOC)</t>
  </si>
  <si>
    <t>Czujnik jakości powietrza: temp., wilg., CO2, lotne związki organiczne.</t>
  </si>
  <si>
    <t>AUT-011</t>
  </si>
  <si>
    <t>Stacja METEO / Zewnętrzny czujnik temperatury</t>
  </si>
  <si>
    <t>Czujnik temperatury na elewację - T</t>
  </si>
  <si>
    <t>AUT-012</t>
  </si>
  <si>
    <t>Bramka KNX-IP</t>
  </si>
  <si>
    <t>Interface do komunikacji sieciowej.</t>
  </si>
  <si>
    <t>AUT-013</t>
  </si>
  <si>
    <t>Bramka KNX-RS485 MODBUS</t>
  </si>
  <si>
    <t>Interface do integracji z systemami zewnętrznymi (liczniki, rekuperator, itp.).</t>
  </si>
  <si>
    <t>AUT-014</t>
  </si>
  <si>
    <t>Zasilacze i urządzenia systemowe</t>
  </si>
  <si>
    <t>Zasilanie systemu, sprzęgło magistrali.</t>
  </si>
  <si>
    <t>AUT-015</t>
  </si>
  <si>
    <t>Wejście sygnałów analogowych</t>
  </si>
  <si>
    <t>Dla czujnika zajętości zbiornika na nieczystości / deszczówkę (czujnik nie wliczony).</t>
  </si>
  <si>
    <t>AUT-016</t>
  </si>
  <si>
    <t>Wejście sygnałów binarnych</t>
  </si>
  <si>
    <t>Dla sygnałów z urządzeń zewnętrznych.</t>
  </si>
  <si>
    <t>AUT-017</t>
  </si>
  <si>
    <t>Laserowy czujnik schodowy + osprzęt</t>
  </si>
  <si>
    <t>Czujnik ruchu na schodach (laser)</t>
  </si>
  <si>
    <t>AUT-018</t>
  </si>
  <si>
    <t>Siłownik termoelektryczny</t>
  </si>
  <si>
    <t>Energooszczędne (1W), NC do sterowania ogrzewania podłogowego.</t>
  </si>
  <si>
    <t>AUT-019</t>
  </si>
  <si>
    <t>Serwer wizualizacji</t>
  </si>
  <si>
    <t>Zaawansowany serwer obsługi aplikacji na urządzenia mobilne (iOS, ANDROID).</t>
  </si>
  <si>
    <t>AUT-020</t>
  </si>
  <si>
    <t>Ramka do iPada (11”) + ładowarka podtynkowa</t>
  </si>
  <si>
    <t>Ramka do iPada 11 generacji (11”) w kolorze czarnym + ładowarka USB-C</t>
  </si>
  <si>
    <t>AUT-021</t>
  </si>
  <si>
    <t>iPad 11” (Gen 11)</t>
  </si>
  <si>
    <t>AUT-022</t>
  </si>
  <si>
    <t>Integracja z systemem wentylacji mechanicznej</t>
  </si>
  <si>
    <t>TAK</t>
  </si>
  <si>
    <t>Wymagana centrala wentylacyjna z interfejsem KNX lub MODBUS.</t>
  </si>
  <si>
    <t>AUT-023</t>
  </si>
  <si>
    <t>Integracja z systemem klimatyzacji</t>
  </si>
  <si>
    <t>Wymagana jednostka z interfejsem KNX lub MODBUS.</t>
  </si>
  <si>
    <t>AUT-024</t>
  </si>
  <si>
    <t>Integracja z systemem alarmowym</t>
  </si>
  <si>
    <t>Wymagany Satel Integra z kartą INT-KNX.</t>
  </si>
  <si>
    <t>AUT-025</t>
  </si>
  <si>
    <t>Integracja z systemem PV hybrydowym</t>
  </si>
  <si>
    <t>Wymagany inwerter z interfejsem MODBUS oraz dokumentacja.</t>
  </si>
  <si>
    <t>AUT-026</t>
  </si>
  <si>
    <t>Integracja z pompą ciepła</t>
  </si>
  <si>
    <t>NIE</t>
  </si>
  <si>
    <t>Wymagana jednostka z interfejsem KNX lub MODBUS oraz dokumentacja.</t>
  </si>
  <si>
    <t>AUT-027</t>
  </si>
  <si>
    <t>Asystent oświetlenia</t>
  </si>
  <si>
    <t>Podstawowa automatyzacja oświetlenia.</t>
  </si>
  <si>
    <t>AUT-028</t>
  </si>
  <si>
    <t>Asystent przesłon okiennych</t>
  </si>
  <si>
    <t>Podstawowa automatyzacja sterowania przesłonami / roletami.</t>
  </si>
  <si>
    <t>AUT-029</t>
  </si>
  <si>
    <t>Asystent wentylacji</t>
  </si>
  <si>
    <t>Podstawowa automatyzacja systemu wentylacji.</t>
  </si>
  <si>
    <t>AUT-030</t>
  </si>
  <si>
    <t>Asystent energii</t>
  </si>
  <si>
    <t>Podstawowy monitoring zużycia energii.</t>
  </si>
  <si>
    <t>AUT-031</t>
  </si>
  <si>
    <t>Asystent głosowy</t>
  </si>
  <si>
    <t>Google Home – wybrane komendy.</t>
  </si>
  <si>
    <t>PRZ-001</t>
  </si>
  <si>
    <t>Przyciski systemowe</t>
  </si>
  <si>
    <t>Panele</t>
  </si>
  <si>
    <t>Panel systemowy KNX – 1 przycisk</t>
  </si>
  <si>
    <t>JUNG LS 990 F40/F50 aluminium dark</t>
  </si>
  <si>
    <t>PRZ-002</t>
  </si>
  <si>
    <t>Panel systemowy KNX – 2 przyciski</t>
  </si>
  <si>
    <t>PRZ-003</t>
  </si>
  <si>
    <t>Panel systemowy KNX – 4 przyciski</t>
  </si>
  <si>
    <t>PRZ-004</t>
  </si>
  <si>
    <t>Panel systemowy KNX – LCD</t>
  </si>
  <si>
    <t>JUNG LS Touch aluminium dark</t>
  </si>
  <si>
    <t>PRA-001</t>
  </si>
  <si>
    <t>Prace (robocizna)</t>
  </si>
  <si>
    <t>Usługi</t>
  </si>
  <si>
    <t>Montaż i uruchomienie</t>
  </si>
  <si>
    <t>Montaż elementów w przygotowanych miejscach (puszki elektryczne, rozdzielnia).</t>
  </si>
  <si>
    <t>PRA-002</t>
  </si>
  <si>
    <t>Programowanie + wizualizacja</t>
  </si>
  <si>
    <t>Zaprogramowanie powiązań elementów sterujących i wykonawczych, logika, automatyzacja, indywidualna aplikacja do zarządzania funkcjami automatyki (sterowanie, statusy, itd.) na iOS, Android, PC.</t>
  </si>
  <si>
    <t>SIE-001</t>
  </si>
  <si>
    <t>Sieć LAN/WiFi</t>
  </si>
  <si>
    <t>Urządzenia i akcesoria</t>
  </si>
  <si>
    <t>Ubiquiti Dream Machine Pro</t>
  </si>
  <si>
    <t>Zaawansowany router z firewallem oraz kontrolerem sieci WiFi. Cena źródłowa obejmowała montaż standardowy, uruchomienie oraz podstawową konfigurację.</t>
  </si>
  <si>
    <t>SIE-002</t>
  </si>
  <si>
    <t>Ubiquiti USW-PRO-24-POE</t>
  </si>
  <si>
    <t>Switch zarządzalny L2/L3 Gigabit Ethernet (10/100/1000) - 16x GbE PoE+ (802.3at/af), 8x GbE PoE ++, 2x SFP+.</t>
  </si>
  <si>
    <t>SIE-003</t>
  </si>
  <si>
    <t>Ubiquiti USW-24</t>
  </si>
  <si>
    <t>Switch zarządzalny L2/L3 Gigabit Ethernet (10/100/1000) - 24x GbE, 2x SFP+.</t>
  </si>
  <si>
    <t>SIE-004</t>
  </si>
  <si>
    <t>Ubiquiti UACC-DAC-SFP10-0.5M</t>
  </si>
  <si>
    <t>SFP+ - Direct Attach Copper Cable, 10Gbps, 0.5M. Kabel do łączenia aktywnych urządzeń sieciowych.</t>
  </si>
  <si>
    <t>SIE-005</t>
  </si>
  <si>
    <t>Ubiquiti U6-LR</t>
  </si>
  <si>
    <t>Wewnętrzny punkt dostępowy ze standardem WiFi 6 - UniFi 6 Long-Range 3000 Mbit/s, biały.</t>
  </si>
  <si>
    <t>SIE-006</t>
  </si>
  <si>
    <t>Ubiquiti U6-Mesh-Pro</t>
  </si>
  <si>
    <t>Zewnętrzny punkt dostępowy WiFi 6 z 4 strumieniami przestrzennymi, zintegrowaną super anteną i portem o przepustowości gigabit.</t>
  </si>
  <si>
    <t>SIE-007</t>
  </si>
  <si>
    <t>Patchpanel modularny 24p</t>
  </si>
  <si>
    <t>Panel krosowy modularny 19" 24x keystone, ekranowany, 1U, czarny, prowadnica kabli, pola opisowe.</t>
  </si>
  <si>
    <t>SIE-008</t>
  </si>
  <si>
    <t>Keystone RJ45 (8P8C) kat.6A</t>
  </si>
  <si>
    <t>Moduł (gniazdo) keystone RJ45 (8P8C) kat.6A, STP, ekranowany, beznarzędziowy, stalowy.</t>
  </si>
  <si>
    <t>SIE-009</t>
  </si>
  <si>
    <t>Patchcord LAN kat. 6, kolor, 0,5m</t>
  </si>
  <si>
    <t>Kabel sieciowy, miedziany. Patchcord LAN o długości pół metra.</t>
  </si>
  <si>
    <t>SIE-010</t>
  </si>
  <si>
    <t>Patchcord LAN kat. 6, kolor, 1m</t>
  </si>
  <si>
    <t>Kabel sieciowy, miedziany. Patchcord LAN o długości jednego metra.</t>
  </si>
  <si>
    <t>SIE-011</t>
  </si>
  <si>
    <t>Patchcord LAN kat. 6, kolor, 3m</t>
  </si>
  <si>
    <t>Kabel sieciowy, miedziany. Patchcord LAN o długości trzech metrów.</t>
  </si>
  <si>
    <t>SIE-012</t>
  </si>
  <si>
    <t>Organizer kabli 19"</t>
  </si>
  <si>
    <t>Przepust kablowy do organizacji kabli "szczotka" 1U.</t>
  </si>
  <si>
    <t>SIE-013</t>
  </si>
  <si>
    <t>Maskownica 19"</t>
  </si>
  <si>
    <t>Maskownica perforowana 1U.</t>
  </si>
  <si>
    <t>SIE-014</t>
  </si>
  <si>
    <t>Półka RACK</t>
  </si>
  <si>
    <t>Półka stalowa, czarna, stała do szafy RACK 19".</t>
  </si>
  <si>
    <t>SIE-015</t>
  </si>
  <si>
    <t>Listwa zasilająca PDU 19"</t>
  </si>
  <si>
    <t>Listwa zasilająca PDU 19" Rack, 7x gniazdo schuko, 2.0m, 1x wtyk unischuko, 16A, wł./wył., zabezpieczenie przepięciowe, profil aluminiowy.</t>
  </si>
  <si>
    <t>SIE-016</t>
  </si>
  <si>
    <t>Szafa RACK (12U)</t>
  </si>
  <si>
    <t>Wisząca szafa RACK z przeszklonymi drzwiami.</t>
  </si>
  <si>
    <t>SIE-017</t>
  </si>
  <si>
    <t>Akcesoria instalacyjne</t>
  </si>
  <si>
    <t>Akcesoria montażowe (opaski, śruby do RACK, kołki, itd.).</t>
  </si>
  <si>
    <t>SIE-018</t>
  </si>
  <si>
    <t>Konfiguracja PRO</t>
  </si>
  <si>
    <t>Opcjonalna zaawansowana konfiguracja systemu - do ustalenia.</t>
  </si>
  <si>
    <t>SYS-001</t>
  </si>
  <si>
    <t>System alarmowy</t>
  </si>
  <si>
    <t>Centrala alarmowa - Integra 128 PLUS</t>
  </si>
  <si>
    <t>Cena źródłowa obejmowała montaż standardowy, uruchomienie oraz podstawową konfigurację.</t>
  </si>
  <si>
    <t>SYS-002</t>
  </si>
  <si>
    <t>ETHM-1 Plus</t>
  </si>
  <si>
    <t>Ethernetowy moduł komunikacyjny.</t>
  </si>
  <si>
    <t>SYS-003</t>
  </si>
  <si>
    <t>RJ/PIN5</t>
  </si>
  <si>
    <t>Przewód komunikacyjny.</t>
  </si>
  <si>
    <t>SYS-004</t>
  </si>
  <si>
    <t>INT-KNX-2</t>
  </si>
  <si>
    <t>Moduł integracji z systemem KNX.</t>
  </si>
  <si>
    <t>SYS-005</t>
  </si>
  <si>
    <t>INT-E</t>
  </si>
  <si>
    <t>Ekspander wejść.</t>
  </si>
  <si>
    <t>SYS-006</t>
  </si>
  <si>
    <t>Sygnalizator zew.</t>
  </si>
  <si>
    <t>Zewnętrzny sygnalizator optyczno-akustyczny.</t>
  </si>
  <si>
    <t>SYS-007</t>
  </si>
  <si>
    <t>INT-KLCD-BL</t>
  </si>
  <si>
    <t>Manipulator LCD.</t>
  </si>
  <si>
    <t>SYS-008</t>
  </si>
  <si>
    <t>INT-TSG2-B</t>
  </si>
  <si>
    <t>Manipulator dotykowy.</t>
  </si>
  <si>
    <t>SYS-009</t>
  </si>
  <si>
    <t>Obudowa RACK 19" 7U</t>
  </si>
  <si>
    <t>Obudowa RACK dla systemu.</t>
  </si>
  <si>
    <t>SYS-010</t>
  </si>
  <si>
    <t>EP 17-12</t>
  </si>
  <si>
    <t>Akumulator 17Ah.</t>
  </si>
  <si>
    <t>SYS-011</t>
  </si>
  <si>
    <t>AWT682</t>
  </si>
  <si>
    <t>Transformator 60VA/18V/20V.</t>
  </si>
  <si>
    <t>SYS-012</t>
  </si>
  <si>
    <t>APS-412</t>
  </si>
  <si>
    <t>Zasilacz buforowy.</t>
  </si>
  <si>
    <t>SYS-013</t>
  </si>
  <si>
    <t>TSD-1</t>
  </si>
  <si>
    <t>Czujka pożarowa.</t>
  </si>
  <si>
    <t>SYS-014</t>
  </si>
  <si>
    <t>DG-1 TCM</t>
  </si>
  <si>
    <t>Czujka gazów usypiających (np. oparów chloroformu).</t>
  </si>
  <si>
    <t>SYS-015</t>
  </si>
  <si>
    <t>XD-2</t>
  </si>
  <si>
    <t>Czujka uniwersalna, biała.</t>
  </si>
  <si>
    <t>SYS-016</t>
  </si>
  <si>
    <t>FPX-1</t>
  </si>
  <si>
    <t>Sonda zalania do czujki uniwersalnej.</t>
  </si>
  <si>
    <t>SYS-017</t>
  </si>
  <si>
    <t>B-4S</t>
  </si>
  <si>
    <t>Kontaktron bramowy (metalowy).</t>
  </si>
  <si>
    <t>SYS-018</t>
  </si>
  <si>
    <t>SLIM-DUAL + bracket</t>
  </si>
  <si>
    <t>Cyfrowa, dualna czujka ruchu (PIR+MW).</t>
  </si>
  <si>
    <t>SYS-019</t>
  </si>
  <si>
    <t>CAPTURE-CD</t>
  </si>
  <si>
    <t>Czujka sufitowa, dualna (PIR + MW).</t>
  </si>
  <si>
    <t>SYS-020</t>
  </si>
  <si>
    <t>GD 330-SJ</t>
  </si>
  <si>
    <t>Czujka zbicia szkła.</t>
  </si>
  <si>
    <t>SYS-021</t>
  </si>
  <si>
    <t>OPTEX + PEU-E</t>
  </si>
  <si>
    <t>Dualna, zewnętrzna czujka.</t>
  </si>
  <si>
    <t>SYS-022</t>
  </si>
  <si>
    <t>OPAL GY + bracket GY</t>
  </si>
  <si>
    <t>Dualna, zewnętrzna czujka kurtynowa.</t>
  </si>
  <si>
    <t>SYS-023</t>
  </si>
  <si>
    <t>Kontroler ABAX 2</t>
  </si>
  <si>
    <t>Kontroler systemu bezprzewodowego ABAX 2.</t>
  </si>
  <si>
    <t>SYS-024</t>
  </si>
  <si>
    <t>Kontaktrony AXD-200</t>
  </si>
  <si>
    <t>Kontaktron bezprzewodowy okno/drzwi.</t>
  </si>
  <si>
    <t>SYS-025</t>
  </si>
  <si>
    <t>Pilot APT-200</t>
  </si>
  <si>
    <t>Dwukierunkowy pilot zdalnego sterowania.</t>
  </si>
  <si>
    <t>SYS-026</t>
  </si>
  <si>
    <t>Kontaktrony wbudowane</t>
  </si>
  <si>
    <t>Cena źródłowa obejmowała podłączenie w centrali oraz podstawową konfigurację.</t>
  </si>
  <si>
    <t>SYS-027</t>
  </si>
  <si>
    <t>Akcesoria montażowe (opaski, śruby, kołki, itd.).</t>
  </si>
  <si>
    <t>SYS-028</t>
  </si>
  <si>
    <t>MON-001</t>
  </si>
  <si>
    <t>Monitoring wideo</t>
  </si>
  <si>
    <t>Rejestrator</t>
  </si>
  <si>
    <t>Rejestrator NVR 80Mb/s 12Mpix 1xHDD SMD, 12VDC.</t>
  </si>
  <si>
    <t>MON-002</t>
  </si>
  <si>
    <t>Kamera kopułkowa</t>
  </si>
  <si>
    <t>Kamera IP 4Mpix FullColor AI 2.8mm IR + białe 30m.</t>
  </si>
  <si>
    <t>MON-003</t>
  </si>
  <si>
    <t>Puszka montażowa</t>
  </si>
  <si>
    <t>Puszka montażowa do kamer typu bullet i kopułkowych.</t>
  </si>
  <si>
    <t>MON-004</t>
  </si>
  <si>
    <t>Kamera bullet</t>
  </si>
  <si>
    <t>Kamera IP 4Mpix IR 50m LED 50m 2.8mm WDR mikrofon.</t>
  </si>
  <si>
    <t>MON-005</t>
  </si>
  <si>
    <t>MON-006</t>
  </si>
  <si>
    <t>Dysk twardy 4TB</t>
  </si>
  <si>
    <t>Dysk twardy dedykowany do systemów monitoringu video.</t>
  </si>
  <si>
    <t>MON-007</t>
  </si>
  <si>
    <t>Sejf na rejestrator</t>
  </si>
  <si>
    <t>Sejf do ochrony rejestratora CCTV, blacha 3mm.</t>
  </si>
  <si>
    <t>MON-008</t>
  </si>
  <si>
    <t>MON-009</t>
  </si>
  <si>
    <t>WID-001</t>
  </si>
  <si>
    <t>Wideo domofon IP</t>
  </si>
  <si>
    <t>Stacja bramowa Doorbird D1101V</t>
  </si>
  <si>
    <t>Podtynkowa stacja bramowa, szczotkowana stal nierdzewna.</t>
  </si>
  <si>
    <t>WID-002</t>
  </si>
  <si>
    <t>Stacja wewnętrzna Doorbird A1101 WE</t>
  </si>
  <si>
    <t>Stacja wewnętrzna, biała.</t>
  </si>
  <si>
    <t>WID-003</t>
  </si>
  <si>
    <t>Montaż</t>
  </si>
  <si>
    <t>W przygotowanych miejscach (puszkę pod stację bramową powinien osadzić wykonawca ogrodzenia).</t>
  </si>
  <si>
    <t>WID-004</t>
  </si>
  <si>
    <t>Uruchomienie i konfiguracja standardowa</t>
  </si>
  <si>
    <t>ROZ-001</t>
  </si>
  <si>
    <t>Rozdzielnica elektryczna</t>
  </si>
  <si>
    <t>Obudowa, wyposażenie, aparaty, dokumentacja</t>
  </si>
  <si>
    <t>Obudowa rozdzielni 2125 mm x 1230 mm x 250 mm</t>
  </si>
  <si>
    <t>Metalowa, z cokołem, malowana proszkowo, kompletna, bez pleców.</t>
  </si>
  <si>
    <t>ROZ-002</t>
  </si>
  <si>
    <t>Rozłącznik izolacyjny 63A/3</t>
  </si>
  <si>
    <t>ROZ-003</t>
  </si>
  <si>
    <t>Rozłącznik izolacyjny 100A/3</t>
  </si>
  <si>
    <t>ROZ-004</t>
  </si>
  <si>
    <t>Przełącznik główny awaryjny 63A/1-0-2</t>
  </si>
  <si>
    <t>Przełącznik zasilania awaryjnego (na przykład z agregatu).</t>
  </si>
  <si>
    <t>ROZ-005</t>
  </si>
  <si>
    <t>Wskaźnik napięcia sieci - trójfazowy</t>
  </si>
  <si>
    <t>ROZ-006</t>
  </si>
  <si>
    <t>Ochronnik I+II (B+C) 275/25</t>
  </si>
  <si>
    <t>Ochrona przed wyładowaniami atmosferycznymi i przepięciami z sieci.</t>
  </si>
  <si>
    <t>ROZ-007</t>
  </si>
  <si>
    <t>Blok rozdzielczy PE 192A</t>
  </si>
  <si>
    <t>ROZ-008</t>
  </si>
  <si>
    <t>Blok rozdzielczy 125A</t>
  </si>
  <si>
    <t>ROZ-009</t>
  </si>
  <si>
    <t>Blok rozdzielczy 10A</t>
  </si>
  <si>
    <t>ROZ-010</t>
  </si>
  <si>
    <t>Wyłącznik różnicowoprądowy 10kA, 40A, 4P, 30mA, A</t>
  </si>
  <si>
    <t>ROZ-011</t>
  </si>
  <si>
    <t>Wyłącznik różnicowoprądowy 10kA, 40A, 2P, 30mA, A</t>
  </si>
  <si>
    <t>ROZ-012</t>
  </si>
  <si>
    <t>Wyłącznik instalacyjny nadprądowy 10kA C16/3P</t>
  </si>
  <si>
    <t>ROZ-013</t>
  </si>
  <si>
    <t>Wyłącznik instalacyjny nadprądowy 10kA B16/3P</t>
  </si>
  <si>
    <t>ROZ-014</t>
  </si>
  <si>
    <t>Wyłącznik instalacyjny nadprądowy 10kA B16/1P</t>
  </si>
  <si>
    <t>ROZ-015</t>
  </si>
  <si>
    <t>Wyłącznik instalacyjny nadprądowy 10kA B10/1P</t>
  </si>
  <si>
    <t>ROZ-016</t>
  </si>
  <si>
    <t>Wyłącznik instalacyjny nadprądowy 10kA B6/1P</t>
  </si>
  <si>
    <t>ROZ-017</t>
  </si>
  <si>
    <t>Oszynowanie 1 fazowe 16mm², 1m</t>
  </si>
  <si>
    <t>ROZ-018</t>
  </si>
  <si>
    <t>Oszynowanie 3 torowe 16mm2, L1/L2/L3, 12 modułów</t>
  </si>
  <si>
    <t>ROZ-019</t>
  </si>
  <si>
    <t>Zacisk N-7 odejść, przekrój 10mm², na szynę, izolowany</t>
  </si>
  <si>
    <t>ROZ-020</t>
  </si>
  <si>
    <t>Zacisk N-15 odejść, przekrój 10mm², na szynę, izolowany</t>
  </si>
  <si>
    <t>ROZ-021</t>
  </si>
  <si>
    <t>Złączka szynowa 2-piętrowa 2,5mm2 L/L szara</t>
  </si>
  <si>
    <t>ROZ-022</t>
  </si>
  <si>
    <t>Złączka szynowa 3-piętrowa 4mm2 N/L/PE szara</t>
  </si>
  <si>
    <t>ROZ-023</t>
  </si>
  <si>
    <t>Złączka szynowa 6mm2 zielono-żółta TB 6-PE</t>
  </si>
  <si>
    <t>ROZ-024</t>
  </si>
  <si>
    <t>Mostek grzebieniowy 10-torowy 25A</t>
  </si>
  <si>
    <t>ROZ-025</t>
  </si>
  <si>
    <t>Blok 6 punktów o przekroju 2,5mm2</t>
  </si>
  <si>
    <t>ROZ-026</t>
  </si>
  <si>
    <t>Akcesoria – linki, tulejki, opaski, listwy opisowe, itd. – kpl.</t>
  </si>
  <si>
    <t>ROZ-027</t>
  </si>
  <si>
    <t>Licznik energii 1F, MODBUS</t>
  </si>
  <si>
    <t>ROZ-028</t>
  </si>
  <si>
    <t>Licznik energii 3F, dwukierunkowy, MODBUS (Dom)</t>
  </si>
  <si>
    <t>ROZ-029</t>
  </si>
  <si>
    <t>Licznik energii 3F, MODBUS (PC dom)</t>
  </si>
  <si>
    <t>ROZ-030</t>
  </si>
  <si>
    <t>Prace</t>
  </si>
  <si>
    <t>Dostawa i montaż rozdzielni, instalacja aparatów elektrycznych, podłączenia elektryczne.</t>
  </si>
  <si>
    <t>ROZ-031</t>
  </si>
  <si>
    <t>Pomiary elektryczne</t>
  </si>
  <si>
    <t>OPR-001</t>
  </si>
  <si>
    <t>Opracowanie / plany</t>
  </si>
  <si>
    <t>Plany i wytyczne</t>
  </si>
  <si>
    <t>Wytyczne elektryczne</t>
  </si>
  <si>
    <t>OPR-002</t>
  </si>
  <si>
    <t>Uproszczony plan systemu automatyki</t>
  </si>
  <si>
    <t>OPR-003</t>
  </si>
  <si>
    <t>Uproszczony plan systemu alarmowego</t>
  </si>
  <si>
    <t>OPR-004</t>
  </si>
  <si>
    <t>Uproszczony plan sieci LAN/WiFi</t>
  </si>
  <si>
    <t>OPR-005</t>
  </si>
  <si>
    <t>Uproszczony plan systemu monitoringu</t>
  </si>
  <si>
    <t>OPR-006</t>
  </si>
  <si>
    <t>Konsultacja międzybranżowa na inwestycji (3h)</t>
  </si>
  <si>
    <t>OPR-007</t>
  </si>
  <si>
    <t>Zmiany w planach</t>
  </si>
  <si>
    <t>Podsumowanie oferty</t>
  </si>
  <si>
    <t>Stawka VAT</t>
  </si>
  <si>
    <t>Razem netto</t>
  </si>
  <si>
    <t>VAT</t>
  </si>
  <si>
    <t>Wskazówka: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</si>
</sst>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zł-415]"/>
  </numFmts>
  <fonts count="7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b/>
      <sz val="11"/>
      <color rgb="FF1F4E78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0000FF"/>
      <name val="Calibri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3F3F3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3FF"/>
      </patternFill>
    </fill>
    <fill>
      <patternFill patternType="solid">
        <fgColor rgb="FFF3F7FF"/>
      </patternFill>
    </fill>
    <fill>
      <patternFill patternType="solid">
        <fgColor rgb="FFFFF2E5"/>
      </patternFill>
    </fill>
    <fill>
      <patternFill patternType="solid">
        <fgColor rgb="FFE8F4FD"/>
      </patternFill>
    </fill>
    <fill>
      <patternFill patternType="solid">
        <fgColor rgb="FFFFF0E1"/>
      </patternFill>
    </fill>
    <fill>
      <patternFill patternType="solid">
        <fgColor rgb="FFF2F2F2"/>
      </patternFill>
    </fill>
    <fill>
      <patternFill patternType="solid">
        <fgColor rgb="FFE9F7F1"/>
      </patternFill>
    </fill>
    <fill>
      <patternFill patternType="solid">
        <fgColor rgb="FFFDEDEC"/>
      </patternFill>
    </fill>
    <fill>
      <patternFill patternType="solid">
        <fgColor rgb="FFF4ECF7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6" fillId="0" borderId="0"/>
  </cellStyleXfs>
  <cellXfs count="37">
    <xf numFmtId="0" fontId="0" fillId="0" borderId="0" xfId="0"/>
    <xf numFmtId="0" fontId="1" fillId="0" borderId="0" xfId="1" applyFont="1"/>
    <xf numFmtId="0" fontId="3" fillId="2" borderId="0" xfId="1" applyFont="1" applyFill="1"/>
    <xf numFmtId="0" fontId="4" fillId="3" borderId="1" xfId="1" applyFont="1" applyFill="1" applyBorder="1" applyAlignment="1">
      <alignment horizontal="center" vertical="center" wrapText="1"/>
    </xf>
    <xf numFmtId="0" fontId="0" fillId="5" borderId="2" xfId="1" applyFont="1" applyFill="1" applyBorder="1" applyAlignment="1">
      <alignment vertical="top" wrapText="1"/>
    </xf>
    <xf numFmtId="0" fontId="0" fillId="2" borderId="2" xfId="1" applyFont="1" applyFill="1" applyBorder="1" applyAlignment="1">
      <alignment vertical="top" wrapText="1"/>
    </xf>
    <xf numFmtId="2" fontId="5" fillId="4" borderId="2" xfId="1" applyNumberFormat="1" applyFont="1" applyFill="1" applyBorder="1" applyAlignment="1">
      <alignment vertical="top" wrapText="1"/>
    </xf>
    <xf numFmtId="0" fontId="0" fillId="0" borderId="2" xfId="1" applyFont="1" applyBorder="1" applyAlignment="1">
      <alignment vertical="top" wrapText="1"/>
    </xf>
    <xf numFmtId="164" fontId="5" fillId="4" borderId="2" xfId="1" applyNumberFormat="1" applyFont="1" applyFill="1" applyBorder="1" applyAlignment="1">
      <alignment vertical="top" wrapText="1"/>
    </xf>
    <xf numFmtId="164" fontId="0" fillId="0" borderId="2" xfId="1" applyNumberFormat="1" applyFont="1" applyBorder="1" applyAlignment="1">
      <alignment vertical="top" wrapText="1"/>
    </xf>
    <xf numFmtId="0" fontId="5" fillId="4" borderId="2" xfId="1" applyFont="1" applyFill="1" applyBorder="1" applyAlignment="1">
      <alignment vertical="top" wrapText="1"/>
    </xf>
    <xf numFmtId="0" fontId="0" fillId="6" borderId="2" xfId="1" applyFont="1" applyFill="1" applyBorder="1" applyAlignment="1">
      <alignment vertical="top" wrapText="1"/>
    </xf>
    <xf numFmtId="0" fontId="0" fillId="7" borderId="2" xfId="1" applyFont="1" applyFill="1" applyBorder="1" applyAlignment="1">
      <alignment vertical="top" wrapText="1"/>
    </xf>
    <xf numFmtId="0" fontId="0" fillId="8" borderId="2" xfId="1" applyFont="1" applyFill="1" applyBorder="1" applyAlignment="1">
      <alignment vertical="top" wrapText="1"/>
    </xf>
    <xf numFmtId="0" fontId="0" fillId="9" borderId="2" xfId="1" applyFont="1" applyFill="1" applyBorder="1" applyAlignment="1">
      <alignment vertical="top" wrapText="1"/>
    </xf>
    <xf numFmtId="0" fontId="0" fillId="10" borderId="2" xfId="1" applyFont="1" applyFill="1" applyBorder="1" applyAlignment="1">
      <alignment vertical="top" wrapText="1"/>
    </xf>
    <xf numFmtId="0" fontId="0" fillId="11" borderId="2" xfId="1" applyFont="1" applyFill="1" applyBorder="1" applyAlignment="1">
      <alignment vertical="top" wrapText="1"/>
    </xf>
    <xf numFmtId="0" fontId="0" fillId="12" borderId="2" xfId="1" applyFont="1" applyFill="1" applyBorder="1" applyAlignment="1">
      <alignment vertical="top" wrapText="1"/>
    </xf>
    <xf numFmtId="0" fontId="0" fillId="13" borderId="2" xfId="1" applyFont="1" applyFill="1" applyBorder="1" applyAlignment="1">
      <alignment vertical="top" wrapText="1"/>
    </xf>
    <xf numFmtId="0" fontId="4" fillId="3" borderId="0" xfId="1" applyFont="1" applyFill="1"/>
    <xf numFmtId="0" fontId="0" fillId="5" borderId="2" xfId="1" applyFont="1" applyFill="1" applyBorder="1"/>
    <xf numFmtId="164" fontId="0" fillId="14" borderId="2" xfId="1" applyNumberFormat="1" applyFont="1" applyFill="1" applyBorder="1"/>
    <xf numFmtId="0" fontId="0" fillId="6" borderId="2" xfId="1" applyFont="1" applyFill="1" applyBorder="1"/>
    <xf numFmtId="0" fontId="0" fillId="7" borderId="2" xfId="1" applyFont="1" applyFill="1" applyBorder="1"/>
    <xf numFmtId="0" fontId="0" fillId="8" borderId="2" xfId="1" applyFont="1" applyFill="1" applyBorder="1"/>
    <xf numFmtId="0" fontId="0" fillId="9" borderId="2" xfId="1" applyFont="1" applyFill="1" applyBorder="1"/>
    <xf numFmtId="0" fontId="0" fillId="10" borderId="2" xfId="1" applyFont="1" applyFill="1" applyBorder="1"/>
    <xf numFmtId="0" fontId="0" fillId="11" borderId="2" xfId="1" applyFont="1" applyFill="1" applyBorder="1"/>
    <xf numFmtId="0" fontId="0" fillId="12" borderId="2" xfId="1" applyFont="1" applyFill="1" applyBorder="1"/>
    <xf numFmtId="0" fontId="0" fillId="13" borderId="2" xfId="1" applyFont="1" applyFill="1" applyBorder="1"/>
    <xf numFmtId="0" fontId="2" fillId="15" borderId="0" xfId="1" applyFont="1" applyFill="1"/>
    <xf numFmtId="164" fontId="2" fillId="15" borderId="0" xfId="1" applyNumberFormat="1" applyFont="1" applyFill="1"/>
    <xf numFmtId="0" fontId="2" fillId="3" borderId="0" xfId="1" applyFont="1" applyFill="1"/>
    <xf numFmtId="164" fontId="4" fillId="3" borderId="0" xfId="1" applyNumberFormat="1" applyFont="1" applyFill="1"/>
    <xf numFmtId="9" fontId="5" fillId="4" borderId="0" xfId="1" applyNumberFormat="1" applyFont="1" applyFill="1"/>
    <xf numFmtId="0" fontId="0" fillId="0" borderId="0" xfId="1" applyFont="1" applyAlignment="1">
      <alignment wrapText="1"/>
    </xf>
    <xf numFmtId="0" fontId="0" fillId="0" borderId="0" xfId="0"/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457200</xdr:colOff>
      <xdr:row>33</xdr:row>
      <xdr:rowOff>0</xdr:rowOff>
    </xdr:to>
    <xdr:sp macro="" textlink="">
      <xdr:nvSpPr>
        <xdr:cNvPr id="1027" name="Text Box 3" hidden="1">
          <a:extLst>
            <a:ext uri="{FF2B5EF4-FFF2-40B4-BE49-F238E27FC236}">
              <a16:creationId xmlns:a16="http://schemas.microsoft.com/office/drawing/2014/main" id="{1418F548-9D3D-81EB-549A-FB5003F7728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ozycjeTabela" displayName="PozycjeTabela" ref="A1:K135">
  <autoFilter ref="A1:K135" xr:uid="{00000000-0009-0000-0100-000001000000}"/>
  <tableColumns count="11">
    <tableColumn id="1" xr3:uid="{00000000-0010-0000-0000-000001000000}" name="ID"/>
    <tableColumn id="2" xr3:uid="{00000000-0010-0000-0000-000002000000}" name="Sekcja"/>
    <tableColumn id="3" xr3:uid="{00000000-0010-0000-0000-000003000000}" name="Podsekcja"/>
    <tableColumn id="4" xr3:uid="{00000000-0010-0000-0000-000004000000}" name="Lp./Ref"/>
    <tableColumn id="5" xr3:uid="{00000000-0010-0000-0000-000005000000}" name="Pozycja"/>
    <tableColumn id="6" xr3:uid="{00000000-0010-0000-0000-000006000000}" name="Ilość z dokumentu"/>
    <tableColumn id="7" xr3:uid="{00000000-0010-0000-0000-000007000000}" name="Ilość do wyceny"/>
    <tableColumn id="8" xr3:uid="{00000000-0010-0000-0000-000008000000}" name="Opis / zakres"/>
    <tableColumn id="9" xr3:uid="{00000000-0010-0000-0000-000009000000}" name="Cena jedn. netto [PLN]"/>
    <tableColumn id="10" xr3:uid="{00000000-0010-0000-0000-00000A000000}" name="Wartość netto [PLN]"/>
    <tableColumn id="11" xr3:uid="{00000000-0010-0000-0000-00000B000000}" name="Uwagi wykonawc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5"/>
  <sheetViews>
    <sheetView showGridLines="0" tabSelected="1" topLeftCell="A128" workbookViewId="0">
      <selection activeCell="H4" sqref="H4"/>
    </sheetView>
  </sheetViews>
  <sheetFormatPr defaultRowHeight="15" x14ac:dyDescent="0.25"/>
  <cols>
    <col min="1" max="1" width="12" customWidth="1"/>
    <col min="2" max="2" width="24" customWidth="1"/>
    <col min="3" max="3" width="22" customWidth="1"/>
    <col min="4" max="4" width="10" customWidth="1"/>
    <col min="5" max="5" width="36" customWidth="1"/>
    <col min="6" max="7" width="16" customWidth="1"/>
    <col min="8" max="8" width="55" customWidth="1"/>
    <col min="9" max="10" width="18" customWidth="1"/>
    <col min="11" max="11" width="24" customWidth="1"/>
  </cols>
  <sheetData>
    <row r="1" spans="1:11" ht="30" customHeight="1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spans="1:11" ht="30" x14ac:dyDescent="0.25">
      <c r="A2" s="4" t="s">
        <v>12</v>
      </c>
      <c r="B2" s="4" t="s">
        <v>13</v>
      </c>
      <c r="C2" s="4" t="s">
        <v>14</v>
      </c>
      <c r="D2" s="4" t="s">
        <v>0</v>
      </c>
      <c r="E2" s="4" t="s">
        <v>15</v>
      </c>
      <c r="F2" s="5">
        <v>41</v>
      </c>
      <c r="G2" s="6">
        <v>41</v>
      </c>
      <c r="H2" s="7" t="s">
        <v>16</v>
      </c>
      <c r="I2" s="8"/>
      <c r="J2" s="9" t="str">
        <f t="shared" ref="J2:J33" si="0">IF(OR(G2="",I2=""),"",G2*I2)</f>
        <v/>
      </c>
      <c r="K2" s="10" t="s">
        <v>0</v>
      </c>
    </row>
    <row r="3" spans="1:11" ht="30" x14ac:dyDescent="0.25">
      <c r="A3" s="4" t="s">
        <v>17</v>
      </c>
      <c r="B3" s="4" t="s">
        <v>13</v>
      </c>
      <c r="C3" s="4" t="s">
        <v>14</v>
      </c>
      <c r="D3" s="4" t="s">
        <v>0</v>
      </c>
      <c r="E3" s="4" t="s">
        <v>18</v>
      </c>
      <c r="F3" s="5">
        <v>4</v>
      </c>
      <c r="G3" s="6">
        <v>4</v>
      </c>
      <c r="H3" s="7" t="s">
        <v>19</v>
      </c>
      <c r="I3" s="8"/>
      <c r="J3" s="9" t="str">
        <f t="shared" si="0"/>
        <v/>
      </c>
      <c r="K3" s="10" t="s">
        <v>0</v>
      </c>
    </row>
    <row r="4" spans="1:11" ht="30" x14ac:dyDescent="0.25">
      <c r="A4" s="4" t="s">
        <v>20</v>
      </c>
      <c r="B4" s="4" t="s">
        <v>13</v>
      </c>
      <c r="C4" s="4" t="s">
        <v>14</v>
      </c>
      <c r="D4" s="4" t="s">
        <v>0</v>
      </c>
      <c r="E4" s="4" t="s">
        <v>21</v>
      </c>
      <c r="F4" s="5">
        <v>0</v>
      </c>
      <c r="G4" s="6">
        <v>0</v>
      </c>
      <c r="H4" s="7" t="s">
        <v>22</v>
      </c>
      <c r="I4" s="8"/>
      <c r="J4" s="9" t="str">
        <f t="shared" si="0"/>
        <v/>
      </c>
      <c r="K4" s="10" t="s">
        <v>0</v>
      </c>
    </row>
    <row r="5" spans="1:11" ht="30" x14ac:dyDescent="0.25">
      <c r="A5" s="4" t="s">
        <v>23</v>
      </c>
      <c r="B5" s="4" t="s">
        <v>13</v>
      </c>
      <c r="C5" s="4" t="s">
        <v>14</v>
      </c>
      <c r="D5" s="4" t="s">
        <v>0</v>
      </c>
      <c r="E5" s="4" t="s">
        <v>24</v>
      </c>
      <c r="F5" s="5">
        <v>12</v>
      </c>
      <c r="G5" s="6">
        <v>12</v>
      </c>
      <c r="H5" s="7" t="s">
        <v>25</v>
      </c>
      <c r="I5" s="8"/>
      <c r="J5" s="9" t="str">
        <f t="shared" si="0"/>
        <v/>
      </c>
      <c r="K5" s="10" t="s">
        <v>0</v>
      </c>
    </row>
    <row r="6" spans="1:11" ht="30" x14ac:dyDescent="0.25">
      <c r="A6" s="4" t="s">
        <v>26</v>
      </c>
      <c r="B6" s="4" t="s">
        <v>13</v>
      </c>
      <c r="C6" s="4" t="s">
        <v>14</v>
      </c>
      <c r="D6" s="4" t="s">
        <v>0</v>
      </c>
      <c r="E6" s="4" t="s">
        <v>27</v>
      </c>
      <c r="F6" s="5">
        <v>3</v>
      </c>
      <c r="G6" s="6">
        <v>3</v>
      </c>
      <c r="H6" s="7" t="s">
        <v>28</v>
      </c>
      <c r="I6" s="8"/>
      <c r="J6" s="9" t="str">
        <f t="shared" si="0"/>
        <v/>
      </c>
      <c r="K6" s="10" t="s">
        <v>0</v>
      </c>
    </row>
    <row r="7" spans="1:11" x14ac:dyDescent="0.25">
      <c r="A7" s="4" t="s">
        <v>29</v>
      </c>
      <c r="B7" s="4" t="s">
        <v>13</v>
      </c>
      <c r="C7" s="4" t="s">
        <v>14</v>
      </c>
      <c r="D7" s="4" t="s">
        <v>0</v>
      </c>
      <c r="E7" s="4" t="s">
        <v>30</v>
      </c>
      <c r="F7" s="5">
        <v>12</v>
      </c>
      <c r="G7" s="6">
        <v>12</v>
      </c>
      <c r="H7" s="7" t="s">
        <v>31</v>
      </c>
      <c r="I7" s="8"/>
      <c r="J7" s="9" t="str">
        <f t="shared" si="0"/>
        <v/>
      </c>
      <c r="K7" s="10" t="s">
        <v>0</v>
      </c>
    </row>
    <row r="8" spans="1:11" x14ac:dyDescent="0.25">
      <c r="A8" s="4" t="s">
        <v>32</v>
      </c>
      <c r="B8" s="4" t="s">
        <v>13</v>
      </c>
      <c r="C8" s="4" t="s">
        <v>14</v>
      </c>
      <c r="D8" s="4" t="s">
        <v>0</v>
      </c>
      <c r="E8" s="4" t="s">
        <v>33</v>
      </c>
      <c r="F8" s="5">
        <v>17</v>
      </c>
      <c r="G8" s="6">
        <v>17</v>
      </c>
      <c r="H8" s="7" t="s">
        <v>34</v>
      </c>
      <c r="I8" s="8"/>
      <c r="J8" s="9" t="str">
        <f t="shared" si="0"/>
        <v/>
      </c>
      <c r="K8" s="10" t="s">
        <v>0</v>
      </c>
    </row>
    <row r="9" spans="1:11" x14ac:dyDescent="0.25">
      <c r="A9" s="4" t="s">
        <v>35</v>
      </c>
      <c r="B9" s="4" t="s">
        <v>13</v>
      </c>
      <c r="C9" s="4" t="s">
        <v>14</v>
      </c>
      <c r="D9" s="4" t="s">
        <v>0</v>
      </c>
      <c r="E9" s="4" t="s">
        <v>36</v>
      </c>
      <c r="F9" s="5">
        <v>3</v>
      </c>
      <c r="G9" s="6">
        <v>3</v>
      </c>
      <c r="H9" s="7" t="s">
        <v>37</v>
      </c>
      <c r="I9" s="8"/>
      <c r="J9" s="9" t="str">
        <f t="shared" si="0"/>
        <v/>
      </c>
      <c r="K9" s="10" t="s">
        <v>0</v>
      </c>
    </row>
    <row r="10" spans="1:11" x14ac:dyDescent="0.25">
      <c r="A10" s="4" t="s">
        <v>38</v>
      </c>
      <c r="B10" s="4" t="s">
        <v>13</v>
      </c>
      <c r="C10" s="4" t="s">
        <v>14</v>
      </c>
      <c r="D10" s="4" t="s">
        <v>0</v>
      </c>
      <c r="E10" s="4" t="s">
        <v>39</v>
      </c>
      <c r="F10" s="5">
        <v>7</v>
      </c>
      <c r="G10" s="6">
        <v>7</v>
      </c>
      <c r="H10" s="7" t="s">
        <v>40</v>
      </c>
      <c r="I10" s="8"/>
      <c r="J10" s="9" t="str">
        <f t="shared" si="0"/>
        <v/>
      </c>
      <c r="K10" s="10" t="s">
        <v>0</v>
      </c>
    </row>
    <row r="11" spans="1:11" ht="30" x14ac:dyDescent="0.25">
      <c r="A11" s="4" t="s">
        <v>41</v>
      </c>
      <c r="B11" s="4" t="s">
        <v>13</v>
      </c>
      <c r="C11" s="4" t="s">
        <v>14</v>
      </c>
      <c r="D11" s="4" t="s">
        <v>0</v>
      </c>
      <c r="E11" s="4" t="s">
        <v>42</v>
      </c>
      <c r="F11" s="5">
        <v>1</v>
      </c>
      <c r="G11" s="6">
        <v>1</v>
      </c>
      <c r="H11" s="7" t="s">
        <v>43</v>
      </c>
      <c r="I11" s="8"/>
      <c r="J11" s="9" t="str">
        <f t="shared" si="0"/>
        <v/>
      </c>
      <c r="K11" s="10" t="s">
        <v>0</v>
      </c>
    </row>
    <row r="12" spans="1:11" ht="30" x14ac:dyDescent="0.25">
      <c r="A12" s="4" t="s">
        <v>44</v>
      </c>
      <c r="B12" s="4" t="s">
        <v>13</v>
      </c>
      <c r="C12" s="4" t="s">
        <v>14</v>
      </c>
      <c r="D12" s="4" t="s">
        <v>0</v>
      </c>
      <c r="E12" s="4" t="s">
        <v>45</v>
      </c>
      <c r="F12" s="5">
        <v>0</v>
      </c>
      <c r="G12" s="6">
        <v>0</v>
      </c>
      <c r="H12" s="7" t="s">
        <v>46</v>
      </c>
      <c r="I12" s="8"/>
      <c r="J12" s="9" t="str">
        <f t="shared" si="0"/>
        <v/>
      </c>
      <c r="K12" s="10" t="s">
        <v>0</v>
      </c>
    </row>
    <row r="13" spans="1:11" x14ac:dyDescent="0.25">
      <c r="A13" s="4" t="s">
        <v>47</v>
      </c>
      <c r="B13" s="4" t="s">
        <v>13</v>
      </c>
      <c r="C13" s="4" t="s">
        <v>14</v>
      </c>
      <c r="D13" s="4" t="s">
        <v>0</v>
      </c>
      <c r="E13" s="4" t="s">
        <v>48</v>
      </c>
      <c r="F13" s="5">
        <v>1</v>
      </c>
      <c r="G13" s="6">
        <v>1</v>
      </c>
      <c r="H13" s="7" t="s">
        <v>49</v>
      </c>
      <c r="I13" s="8"/>
      <c r="J13" s="9" t="str">
        <f t="shared" si="0"/>
        <v/>
      </c>
      <c r="K13" s="10" t="s">
        <v>0</v>
      </c>
    </row>
    <row r="14" spans="1:11" ht="30" x14ac:dyDescent="0.25">
      <c r="A14" s="4" t="s">
        <v>50</v>
      </c>
      <c r="B14" s="4" t="s">
        <v>13</v>
      </c>
      <c r="C14" s="4" t="s">
        <v>14</v>
      </c>
      <c r="D14" s="4" t="s">
        <v>0</v>
      </c>
      <c r="E14" s="4" t="s">
        <v>51</v>
      </c>
      <c r="F14" s="5">
        <v>1</v>
      </c>
      <c r="G14" s="6">
        <v>1</v>
      </c>
      <c r="H14" s="7" t="s">
        <v>52</v>
      </c>
      <c r="I14" s="8"/>
      <c r="J14" s="9" t="str">
        <f t="shared" si="0"/>
        <v/>
      </c>
      <c r="K14" s="10" t="s">
        <v>0</v>
      </c>
    </row>
    <row r="15" spans="1:11" x14ac:dyDescent="0.25">
      <c r="A15" s="4" t="s">
        <v>53</v>
      </c>
      <c r="B15" s="4" t="s">
        <v>13</v>
      </c>
      <c r="C15" s="4" t="s">
        <v>14</v>
      </c>
      <c r="D15" s="4" t="s">
        <v>0</v>
      </c>
      <c r="E15" s="4" t="s">
        <v>54</v>
      </c>
      <c r="F15" s="5">
        <v>4</v>
      </c>
      <c r="G15" s="6">
        <v>4</v>
      </c>
      <c r="H15" s="7" t="s">
        <v>55</v>
      </c>
      <c r="I15" s="8"/>
      <c r="J15" s="9" t="str">
        <f t="shared" si="0"/>
        <v/>
      </c>
      <c r="K15" s="10" t="s">
        <v>0</v>
      </c>
    </row>
    <row r="16" spans="1:11" ht="30" x14ac:dyDescent="0.25">
      <c r="A16" s="4" t="s">
        <v>56</v>
      </c>
      <c r="B16" s="4" t="s">
        <v>13</v>
      </c>
      <c r="C16" s="4" t="s">
        <v>14</v>
      </c>
      <c r="D16" s="4" t="s">
        <v>0</v>
      </c>
      <c r="E16" s="4" t="s">
        <v>57</v>
      </c>
      <c r="F16" s="5">
        <v>4</v>
      </c>
      <c r="G16" s="6">
        <v>4</v>
      </c>
      <c r="H16" s="7" t="s">
        <v>58</v>
      </c>
      <c r="I16" s="8"/>
      <c r="J16" s="9" t="str">
        <f t="shared" si="0"/>
        <v/>
      </c>
      <c r="K16" s="10" t="s">
        <v>0</v>
      </c>
    </row>
    <row r="17" spans="1:11" x14ac:dyDescent="0.25">
      <c r="A17" s="4" t="s">
        <v>59</v>
      </c>
      <c r="B17" s="4" t="s">
        <v>13</v>
      </c>
      <c r="C17" s="4" t="s">
        <v>14</v>
      </c>
      <c r="D17" s="4" t="s">
        <v>0</v>
      </c>
      <c r="E17" s="4" t="s">
        <v>60</v>
      </c>
      <c r="F17" s="5">
        <v>1</v>
      </c>
      <c r="G17" s="6">
        <v>1</v>
      </c>
      <c r="H17" s="7" t="s">
        <v>61</v>
      </c>
      <c r="I17" s="8"/>
      <c r="J17" s="9" t="str">
        <f t="shared" si="0"/>
        <v/>
      </c>
      <c r="K17" s="10" t="s">
        <v>0</v>
      </c>
    </row>
    <row r="18" spans="1:11" x14ac:dyDescent="0.25">
      <c r="A18" s="4" t="s">
        <v>62</v>
      </c>
      <c r="B18" s="4" t="s">
        <v>13</v>
      </c>
      <c r="C18" s="4" t="s">
        <v>14</v>
      </c>
      <c r="D18" s="4" t="s">
        <v>0</v>
      </c>
      <c r="E18" s="4" t="s">
        <v>63</v>
      </c>
      <c r="F18" s="5">
        <v>0</v>
      </c>
      <c r="G18" s="6">
        <v>0</v>
      </c>
      <c r="H18" s="7" t="s">
        <v>64</v>
      </c>
      <c r="I18" s="8"/>
      <c r="J18" s="9" t="str">
        <f t="shared" si="0"/>
        <v/>
      </c>
      <c r="K18" s="10" t="s">
        <v>0</v>
      </c>
    </row>
    <row r="19" spans="1:11" ht="30" x14ac:dyDescent="0.25">
      <c r="A19" s="4" t="s">
        <v>65</v>
      </c>
      <c r="B19" s="4" t="s">
        <v>13</v>
      </c>
      <c r="C19" s="4" t="s">
        <v>14</v>
      </c>
      <c r="D19" s="4" t="s">
        <v>0</v>
      </c>
      <c r="E19" s="4" t="s">
        <v>66</v>
      </c>
      <c r="F19" s="5">
        <v>0</v>
      </c>
      <c r="G19" s="6">
        <v>0</v>
      </c>
      <c r="H19" s="7" t="s">
        <v>67</v>
      </c>
      <c r="I19" s="8"/>
      <c r="J19" s="9" t="str">
        <f t="shared" si="0"/>
        <v/>
      </c>
      <c r="K19" s="10" t="s">
        <v>0</v>
      </c>
    </row>
    <row r="20" spans="1:11" ht="30" x14ac:dyDescent="0.25">
      <c r="A20" s="4" t="s">
        <v>68</v>
      </c>
      <c r="B20" s="4" t="s">
        <v>13</v>
      </c>
      <c r="C20" s="4" t="s">
        <v>14</v>
      </c>
      <c r="D20" s="4" t="s">
        <v>0</v>
      </c>
      <c r="E20" s="4" t="s">
        <v>69</v>
      </c>
      <c r="F20" s="5">
        <v>1</v>
      </c>
      <c r="G20" s="6">
        <v>1</v>
      </c>
      <c r="H20" s="7" t="s">
        <v>70</v>
      </c>
      <c r="I20" s="8"/>
      <c r="J20" s="9" t="str">
        <f t="shared" si="0"/>
        <v/>
      </c>
      <c r="K20" s="10" t="s">
        <v>0</v>
      </c>
    </row>
    <row r="21" spans="1:11" ht="30" x14ac:dyDescent="0.25">
      <c r="A21" s="4" t="s">
        <v>71</v>
      </c>
      <c r="B21" s="4" t="s">
        <v>13</v>
      </c>
      <c r="C21" s="4" t="s">
        <v>14</v>
      </c>
      <c r="D21" s="4" t="s">
        <v>0</v>
      </c>
      <c r="E21" s="4" t="s">
        <v>72</v>
      </c>
      <c r="F21" s="5">
        <v>0</v>
      </c>
      <c r="G21" s="6">
        <v>0</v>
      </c>
      <c r="H21" s="7" t="s">
        <v>73</v>
      </c>
      <c r="I21" s="8"/>
      <c r="J21" s="9" t="str">
        <f t="shared" si="0"/>
        <v/>
      </c>
      <c r="K21" s="10" t="s">
        <v>0</v>
      </c>
    </row>
    <row r="22" spans="1:11" x14ac:dyDescent="0.25">
      <c r="A22" s="4" t="s">
        <v>74</v>
      </c>
      <c r="B22" s="4" t="s">
        <v>13</v>
      </c>
      <c r="C22" s="4" t="s">
        <v>14</v>
      </c>
      <c r="D22" s="4" t="s">
        <v>0</v>
      </c>
      <c r="E22" s="4" t="s">
        <v>75</v>
      </c>
      <c r="F22" s="5">
        <v>0</v>
      </c>
      <c r="G22" s="6">
        <v>0</v>
      </c>
      <c r="H22" s="7" t="s">
        <v>0</v>
      </c>
      <c r="I22" s="8"/>
      <c r="J22" s="9" t="str">
        <f t="shared" si="0"/>
        <v/>
      </c>
      <c r="K22" s="10" t="s">
        <v>0</v>
      </c>
    </row>
    <row r="23" spans="1:11" ht="30" x14ac:dyDescent="0.25">
      <c r="A23" s="4" t="s">
        <v>76</v>
      </c>
      <c r="B23" s="4" t="s">
        <v>13</v>
      </c>
      <c r="C23" s="4" t="s">
        <v>14</v>
      </c>
      <c r="D23" s="4" t="s">
        <v>0</v>
      </c>
      <c r="E23" s="4" t="s">
        <v>77</v>
      </c>
      <c r="F23" s="5" t="s">
        <v>78</v>
      </c>
      <c r="G23" s="6">
        <v>1</v>
      </c>
      <c r="H23" s="7" t="s">
        <v>79</v>
      </c>
      <c r="I23" s="8"/>
      <c r="J23" s="9" t="str">
        <f t="shared" si="0"/>
        <v/>
      </c>
      <c r="K23" s="10" t="s">
        <v>0</v>
      </c>
    </row>
    <row r="24" spans="1:11" x14ac:dyDescent="0.25">
      <c r="A24" s="4" t="s">
        <v>80</v>
      </c>
      <c r="B24" s="4" t="s">
        <v>13</v>
      </c>
      <c r="C24" s="4" t="s">
        <v>14</v>
      </c>
      <c r="D24" s="4" t="s">
        <v>0</v>
      </c>
      <c r="E24" s="4" t="s">
        <v>81</v>
      </c>
      <c r="F24" s="5" t="s">
        <v>78</v>
      </c>
      <c r="G24" s="6">
        <v>1</v>
      </c>
      <c r="H24" s="7" t="s">
        <v>82</v>
      </c>
      <c r="I24" s="8"/>
      <c r="J24" s="9" t="str">
        <f t="shared" si="0"/>
        <v/>
      </c>
      <c r="K24" s="10" t="s">
        <v>0</v>
      </c>
    </row>
    <row r="25" spans="1:11" x14ac:dyDescent="0.25">
      <c r="A25" s="4" t="s">
        <v>83</v>
      </c>
      <c r="B25" s="4" t="s">
        <v>13</v>
      </c>
      <c r="C25" s="4" t="s">
        <v>14</v>
      </c>
      <c r="D25" s="4" t="s">
        <v>0</v>
      </c>
      <c r="E25" s="4" t="s">
        <v>84</v>
      </c>
      <c r="F25" s="5" t="s">
        <v>78</v>
      </c>
      <c r="G25" s="6">
        <v>1</v>
      </c>
      <c r="H25" s="7" t="s">
        <v>85</v>
      </c>
      <c r="I25" s="8"/>
      <c r="J25" s="9" t="str">
        <f t="shared" si="0"/>
        <v/>
      </c>
      <c r="K25" s="10" t="s">
        <v>0</v>
      </c>
    </row>
    <row r="26" spans="1:11" ht="30" x14ac:dyDescent="0.25">
      <c r="A26" s="4" t="s">
        <v>86</v>
      </c>
      <c r="B26" s="4" t="s">
        <v>13</v>
      </c>
      <c r="C26" s="4" t="s">
        <v>14</v>
      </c>
      <c r="D26" s="4" t="s">
        <v>0</v>
      </c>
      <c r="E26" s="4" t="s">
        <v>87</v>
      </c>
      <c r="F26" s="5" t="s">
        <v>78</v>
      </c>
      <c r="G26" s="6">
        <v>1</v>
      </c>
      <c r="H26" s="7" t="s">
        <v>88</v>
      </c>
      <c r="I26" s="8"/>
      <c r="J26" s="9" t="str">
        <f t="shared" si="0"/>
        <v/>
      </c>
      <c r="K26" s="10" t="s">
        <v>0</v>
      </c>
    </row>
    <row r="27" spans="1:11" ht="30" x14ac:dyDescent="0.25">
      <c r="A27" s="4" t="s">
        <v>89</v>
      </c>
      <c r="B27" s="4" t="s">
        <v>13</v>
      </c>
      <c r="C27" s="4" t="s">
        <v>14</v>
      </c>
      <c r="D27" s="4" t="s">
        <v>0</v>
      </c>
      <c r="E27" s="4" t="s">
        <v>90</v>
      </c>
      <c r="F27" s="5" t="s">
        <v>91</v>
      </c>
      <c r="G27" s="6">
        <v>0</v>
      </c>
      <c r="H27" s="7" t="s">
        <v>92</v>
      </c>
      <c r="I27" s="8"/>
      <c r="J27" s="9" t="str">
        <f t="shared" si="0"/>
        <v/>
      </c>
      <c r="K27" s="10" t="s">
        <v>0</v>
      </c>
    </row>
    <row r="28" spans="1:11" x14ac:dyDescent="0.25">
      <c r="A28" s="4" t="s">
        <v>93</v>
      </c>
      <c r="B28" s="4" t="s">
        <v>13</v>
      </c>
      <c r="C28" s="4" t="s">
        <v>14</v>
      </c>
      <c r="D28" s="4" t="s">
        <v>0</v>
      </c>
      <c r="E28" s="4" t="s">
        <v>94</v>
      </c>
      <c r="F28" s="5" t="s">
        <v>78</v>
      </c>
      <c r="G28" s="6">
        <v>1</v>
      </c>
      <c r="H28" s="7" t="s">
        <v>95</v>
      </c>
      <c r="I28" s="8"/>
      <c r="J28" s="9" t="str">
        <f t="shared" si="0"/>
        <v/>
      </c>
      <c r="K28" s="10" t="s">
        <v>0</v>
      </c>
    </row>
    <row r="29" spans="1:11" ht="30" x14ac:dyDescent="0.25">
      <c r="A29" s="4" t="s">
        <v>96</v>
      </c>
      <c r="B29" s="4" t="s">
        <v>13</v>
      </c>
      <c r="C29" s="4" t="s">
        <v>14</v>
      </c>
      <c r="D29" s="4" t="s">
        <v>0</v>
      </c>
      <c r="E29" s="4" t="s">
        <v>97</v>
      </c>
      <c r="F29" s="5" t="s">
        <v>78</v>
      </c>
      <c r="G29" s="6">
        <v>1</v>
      </c>
      <c r="H29" s="7" t="s">
        <v>98</v>
      </c>
      <c r="I29" s="8"/>
      <c r="J29" s="9" t="str">
        <f t="shared" si="0"/>
        <v/>
      </c>
      <c r="K29" s="10" t="s">
        <v>0</v>
      </c>
    </row>
    <row r="30" spans="1:11" x14ac:dyDescent="0.25">
      <c r="A30" s="4" t="s">
        <v>99</v>
      </c>
      <c r="B30" s="4" t="s">
        <v>13</v>
      </c>
      <c r="C30" s="4" t="s">
        <v>14</v>
      </c>
      <c r="D30" s="4" t="s">
        <v>0</v>
      </c>
      <c r="E30" s="4" t="s">
        <v>100</v>
      </c>
      <c r="F30" s="5" t="s">
        <v>78</v>
      </c>
      <c r="G30" s="6">
        <v>1</v>
      </c>
      <c r="H30" s="7" t="s">
        <v>101</v>
      </c>
      <c r="I30" s="8"/>
      <c r="J30" s="9" t="str">
        <f t="shared" si="0"/>
        <v/>
      </c>
      <c r="K30" s="10" t="s">
        <v>0</v>
      </c>
    </row>
    <row r="31" spans="1:11" x14ac:dyDescent="0.25">
      <c r="A31" s="4" t="s">
        <v>102</v>
      </c>
      <c r="B31" s="4" t="s">
        <v>13</v>
      </c>
      <c r="C31" s="4" t="s">
        <v>14</v>
      </c>
      <c r="D31" s="4" t="s">
        <v>0</v>
      </c>
      <c r="E31" s="4" t="s">
        <v>103</v>
      </c>
      <c r="F31" s="5" t="s">
        <v>91</v>
      </c>
      <c r="G31" s="6">
        <v>0</v>
      </c>
      <c r="H31" s="7" t="s">
        <v>104</v>
      </c>
      <c r="I31" s="8"/>
      <c r="J31" s="9" t="str">
        <f t="shared" si="0"/>
        <v/>
      </c>
      <c r="K31" s="10" t="s">
        <v>0</v>
      </c>
    </row>
    <row r="32" spans="1:11" x14ac:dyDescent="0.25">
      <c r="A32" s="4" t="s">
        <v>105</v>
      </c>
      <c r="B32" s="4" t="s">
        <v>13</v>
      </c>
      <c r="C32" s="4" t="s">
        <v>14</v>
      </c>
      <c r="D32" s="4" t="s">
        <v>0</v>
      </c>
      <c r="E32" s="4" t="s">
        <v>106</v>
      </c>
      <c r="F32" s="5" t="s">
        <v>91</v>
      </c>
      <c r="G32" s="6">
        <v>0</v>
      </c>
      <c r="H32" s="7" t="s">
        <v>107</v>
      </c>
      <c r="I32" s="8"/>
      <c r="J32" s="9" t="str">
        <f t="shared" si="0"/>
        <v/>
      </c>
      <c r="K32" s="10" t="s">
        <v>0</v>
      </c>
    </row>
    <row r="33" spans="1:11" x14ac:dyDescent="0.25">
      <c r="A33" s="11" t="s">
        <v>108</v>
      </c>
      <c r="B33" s="11" t="s">
        <v>109</v>
      </c>
      <c r="C33" s="11" t="s">
        <v>110</v>
      </c>
      <c r="D33" s="11" t="s">
        <v>0</v>
      </c>
      <c r="E33" s="11" t="s">
        <v>111</v>
      </c>
      <c r="F33" s="5">
        <v>0</v>
      </c>
      <c r="G33" s="6">
        <v>0</v>
      </c>
      <c r="H33" s="7" t="s">
        <v>112</v>
      </c>
      <c r="I33" s="8"/>
      <c r="J33" s="9" t="str">
        <f t="shared" si="0"/>
        <v/>
      </c>
      <c r="K33" s="10" t="s">
        <v>0</v>
      </c>
    </row>
    <row r="34" spans="1:11" x14ac:dyDescent="0.25">
      <c r="A34" s="11" t="s">
        <v>113</v>
      </c>
      <c r="B34" s="11" t="s">
        <v>109</v>
      </c>
      <c r="C34" s="11" t="s">
        <v>110</v>
      </c>
      <c r="D34" s="11" t="s">
        <v>0</v>
      </c>
      <c r="E34" s="11" t="s">
        <v>114</v>
      </c>
      <c r="F34" s="5">
        <v>6</v>
      </c>
      <c r="G34" s="6">
        <v>6</v>
      </c>
      <c r="H34" s="7" t="s">
        <v>112</v>
      </c>
      <c r="I34" s="8"/>
      <c r="J34" s="9" t="str">
        <f t="shared" ref="J34:J65" si="1">IF(OR(G34="",I34=""),"",G34*I34)</f>
        <v/>
      </c>
      <c r="K34" s="10" t="s">
        <v>0</v>
      </c>
    </row>
    <row r="35" spans="1:11" x14ac:dyDescent="0.25">
      <c r="A35" s="11" t="s">
        <v>115</v>
      </c>
      <c r="B35" s="11" t="s">
        <v>109</v>
      </c>
      <c r="C35" s="11" t="s">
        <v>110</v>
      </c>
      <c r="D35" s="11" t="s">
        <v>0</v>
      </c>
      <c r="E35" s="11" t="s">
        <v>116</v>
      </c>
      <c r="F35" s="5">
        <v>40</v>
      </c>
      <c r="G35" s="6">
        <v>40</v>
      </c>
      <c r="H35" s="7" t="s">
        <v>112</v>
      </c>
      <c r="I35" s="8"/>
      <c r="J35" s="9" t="str">
        <f t="shared" si="1"/>
        <v/>
      </c>
      <c r="K35" s="10" t="s">
        <v>0</v>
      </c>
    </row>
    <row r="36" spans="1:11" x14ac:dyDescent="0.25">
      <c r="A36" s="11" t="s">
        <v>117</v>
      </c>
      <c r="B36" s="11" t="s">
        <v>109</v>
      </c>
      <c r="C36" s="11" t="s">
        <v>110</v>
      </c>
      <c r="D36" s="11" t="s">
        <v>0</v>
      </c>
      <c r="E36" s="11" t="s">
        <v>118</v>
      </c>
      <c r="F36" s="5">
        <v>0</v>
      </c>
      <c r="G36" s="6">
        <v>0</v>
      </c>
      <c r="H36" s="7" t="s">
        <v>119</v>
      </c>
      <c r="I36" s="8"/>
      <c r="J36" s="9" t="str">
        <f t="shared" si="1"/>
        <v/>
      </c>
      <c r="K36" s="10" t="s">
        <v>0</v>
      </c>
    </row>
    <row r="37" spans="1:11" ht="30" x14ac:dyDescent="0.25">
      <c r="A37" s="12" t="s">
        <v>120</v>
      </c>
      <c r="B37" s="12" t="s">
        <v>121</v>
      </c>
      <c r="C37" s="12" t="s">
        <v>122</v>
      </c>
      <c r="D37" s="12" t="s">
        <v>0</v>
      </c>
      <c r="E37" s="12" t="s">
        <v>123</v>
      </c>
      <c r="F37" s="5">
        <v>1</v>
      </c>
      <c r="G37" s="6">
        <v>1</v>
      </c>
      <c r="H37" s="7" t="s">
        <v>124</v>
      </c>
      <c r="I37" s="8"/>
      <c r="J37" s="9" t="str">
        <f t="shared" si="1"/>
        <v/>
      </c>
      <c r="K37" s="10" t="s">
        <v>0</v>
      </c>
    </row>
    <row r="38" spans="1:11" ht="60" x14ac:dyDescent="0.25">
      <c r="A38" s="12" t="s">
        <v>125</v>
      </c>
      <c r="B38" s="12" t="s">
        <v>121</v>
      </c>
      <c r="C38" s="12" t="s">
        <v>122</v>
      </c>
      <c r="D38" s="12" t="s">
        <v>0</v>
      </c>
      <c r="E38" s="12" t="s">
        <v>126</v>
      </c>
      <c r="F38" s="5">
        <v>1</v>
      </c>
      <c r="G38" s="6">
        <v>1</v>
      </c>
      <c r="H38" s="7" t="s">
        <v>127</v>
      </c>
      <c r="I38" s="8"/>
      <c r="J38" s="9" t="str">
        <f t="shared" si="1"/>
        <v/>
      </c>
      <c r="K38" s="10" t="s">
        <v>0</v>
      </c>
    </row>
    <row r="39" spans="1:11" ht="45" x14ac:dyDescent="0.25">
      <c r="A39" s="13" t="s">
        <v>128</v>
      </c>
      <c r="B39" s="13" t="s">
        <v>129</v>
      </c>
      <c r="C39" s="13" t="s">
        <v>130</v>
      </c>
      <c r="D39" s="13">
        <v>1</v>
      </c>
      <c r="E39" s="13" t="s">
        <v>131</v>
      </c>
      <c r="F39" s="5">
        <v>1</v>
      </c>
      <c r="G39" s="6">
        <v>1</v>
      </c>
      <c r="H39" s="7" t="s">
        <v>132</v>
      </c>
      <c r="I39" s="8"/>
      <c r="J39" s="9" t="str">
        <f t="shared" si="1"/>
        <v/>
      </c>
      <c r="K39" s="10" t="s">
        <v>0</v>
      </c>
    </row>
    <row r="40" spans="1:11" ht="30" x14ac:dyDescent="0.25">
      <c r="A40" s="13" t="s">
        <v>133</v>
      </c>
      <c r="B40" s="13" t="s">
        <v>129</v>
      </c>
      <c r="C40" s="13" t="s">
        <v>130</v>
      </c>
      <c r="D40" s="13">
        <v>2</v>
      </c>
      <c r="E40" s="13" t="s">
        <v>134</v>
      </c>
      <c r="F40" s="5">
        <v>1</v>
      </c>
      <c r="G40" s="6">
        <v>1</v>
      </c>
      <c r="H40" s="7" t="s">
        <v>135</v>
      </c>
      <c r="I40" s="8"/>
      <c r="J40" s="9" t="str">
        <f t="shared" si="1"/>
        <v/>
      </c>
      <c r="K40" s="10" t="s">
        <v>0</v>
      </c>
    </row>
    <row r="41" spans="1:11" ht="30" x14ac:dyDescent="0.25">
      <c r="A41" s="13" t="s">
        <v>136</v>
      </c>
      <c r="B41" s="13" t="s">
        <v>129</v>
      </c>
      <c r="C41" s="13" t="s">
        <v>130</v>
      </c>
      <c r="D41" s="13">
        <v>3</v>
      </c>
      <c r="E41" s="13" t="s">
        <v>137</v>
      </c>
      <c r="F41" s="5">
        <v>1</v>
      </c>
      <c r="G41" s="6">
        <v>1</v>
      </c>
      <c r="H41" s="7" t="s">
        <v>138</v>
      </c>
      <c r="I41" s="8"/>
      <c r="J41" s="9" t="str">
        <f t="shared" si="1"/>
        <v/>
      </c>
      <c r="K41" s="10" t="s">
        <v>0</v>
      </c>
    </row>
    <row r="42" spans="1:11" ht="30" x14ac:dyDescent="0.25">
      <c r="A42" s="13" t="s">
        <v>139</v>
      </c>
      <c r="B42" s="13" t="s">
        <v>129</v>
      </c>
      <c r="C42" s="13" t="s">
        <v>130</v>
      </c>
      <c r="D42" s="13">
        <v>4</v>
      </c>
      <c r="E42" s="13" t="s">
        <v>140</v>
      </c>
      <c r="F42" s="5">
        <v>2</v>
      </c>
      <c r="G42" s="6">
        <v>2</v>
      </c>
      <c r="H42" s="7" t="s">
        <v>141</v>
      </c>
      <c r="I42" s="8"/>
      <c r="J42" s="9" t="str">
        <f t="shared" si="1"/>
        <v/>
      </c>
      <c r="K42" s="10" t="s">
        <v>0</v>
      </c>
    </row>
    <row r="43" spans="1:11" ht="30" x14ac:dyDescent="0.25">
      <c r="A43" s="13" t="s">
        <v>142</v>
      </c>
      <c r="B43" s="13" t="s">
        <v>129</v>
      </c>
      <c r="C43" s="13" t="s">
        <v>130</v>
      </c>
      <c r="D43" s="13">
        <v>5</v>
      </c>
      <c r="E43" s="13" t="s">
        <v>143</v>
      </c>
      <c r="F43" s="5">
        <v>6</v>
      </c>
      <c r="G43" s="6">
        <v>6</v>
      </c>
      <c r="H43" s="7" t="s">
        <v>144</v>
      </c>
      <c r="I43" s="8"/>
      <c r="J43" s="9" t="str">
        <f t="shared" si="1"/>
        <v/>
      </c>
      <c r="K43" s="10" t="s">
        <v>0</v>
      </c>
    </row>
    <row r="44" spans="1:11" ht="45" x14ac:dyDescent="0.25">
      <c r="A44" s="13" t="s">
        <v>145</v>
      </c>
      <c r="B44" s="13" t="s">
        <v>129</v>
      </c>
      <c r="C44" s="13" t="s">
        <v>130</v>
      </c>
      <c r="D44" s="13">
        <v>6</v>
      </c>
      <c r="E44" s="13" t="s">
        <v>146</v>
      </c>
      <c r="F44" s="5">
        <v>2</v>
      </c>
      <c r="G44" s="6">
        <v>2</v>
      </c>
      <c r="H44" s="7" t="s">
        <v>147</v>
      </c>
      <c r="I44" s="8"/>
      <c r="J44" s="9" t="str">
        <f t="shared" si="1"/>
        <v/>
      </c>
      <c r="K44" s="10" t="s">
        <v>0</v>
      </c>
    </row>
    <row r="45" spans="1:11" ht="30" x14ac:dyDescent="0.25">
      <c r="A45" s="13" t="s">
        <v>148</v>
      </c>
      <c r="B45" s="13" t="s">
        <v>129</v>
      </c>
      <c r="C45" s="13" t="s">
        <v>130</v>
      </c>
      <c r="D45" s="13">
        <v>7</v>
      </c>
      <c r="E45" s="13" t="s">
        <v>149</v>
      </c>
      <c r="F45" s="5">
        <v>2</v>
      </c>
      <c r="G45" s="6">
        <v>2</v>
      </c>
      <c r="H45" s="7" t="s">
        <v>150</v>
      </c>
      <c r="I45" s="8"/>
      <c r="J45" s="9" t="str">
        <f t="shared" si="1"/>
        <v/>
      </c>
      <c r="K45" s="10" t="s">
        <v>0</v>
      </c>
    </row>
    <row r="46" spans="1:11" ht="30" x14ac:dyDescent="0.25">
      <c r="A46" s="13" t="s">
        <v>151</v>
      </c>
      <c r="B46" s="13" t="s">
        <v>129</v>
      </c>
      <c r="C46" s="13" t="s">
        <v>130</v>
      </c>
      <c r="D46" s="13">
        <v>8</v>
      </c>
      <c r="E46" s="13" t="s">
        <v>152</v>
      </c>
      <c r="F46" s="5">
        <v>48</v>
      </c>
      <c r="G46" s="6">
        <v>48</v>
      </c>
      <c r="H46" s="7" t="s">
        <v>153</v>
      </c>
      <c r="I46" s="8"/>
      <c r="J46" s="9" t="str">
        <f t="shared" si="1"/>
        <v/>
      </c>
      <c r="K46" s="10" t="s">
        <v>0</v>
      </c>
    </row>
    <row r="47" spans="1:11" ht="30" x14ac:dyDescent="0.25">
      <c r="A47" s="13" t="s">
        <v>154</v>
      </c>
      <c r="B47" s="13" t="s">
        <v>129</v>
      </c>
      <c r="C47" s="13" t="s">
        <v>130</v>
      </c>
      <c r="D47" s="13">
        <v>9</v>
      </c>
      <c r="E47" s="13" t="s">
        <v>155</v>
      </c>
      <c r="F47" s="5">
        <v>48</v>
      </c>
      <c r="G47" s="6">
        <v>48</v>
      </c>
      <c r="H47" s="7" t="s">
        <v>156</v>
      </c>
      <c r="I47" s="8"/>
      <c r="J47" s="9" t="str">
        <f t="shared" si="1"/>
        <v/>
      </c>
      <c r="K47" s="10" t="s">
        <v>0</v>
      </c>
    </row>
    <row r="48" spans="1:11" ht="30" x14ac:dyDescent="0.25">
      <c r="A48" s="13" t="s">
        <v>157</v>
      </c>
      <c r="B48" s="13" t="s">
        <v>129</v>
      </c>
      <c r="C48" s="13" t="s">
        <v>130</v>
      </c>
      <c r="D48" s="13">
        <v>10</v>
      </c>
      <c r="E48" s="13" t="s">
        <v>158</v>
      </c>
      <c r="F48" s="5">
        <v>5</v>
      </c>
      <c r="G48" s="6">
        <v>5</v>
      </c>
      <c r="H48" s="7" t="s">
        <v>159</v>
      </c>
      <c r="I48" s="8"/>
      <c r="J48" s="9" t="str">
        <f t="shared" si="1"/>
        <v/>
      </c>
      <c r="K48" s="10" t="s">
        <v>0</v>
      </c>
    </row>
    <row r="49" spans="1:11" ht="30" x14ac:dyDescent="0.25">
      <c r="A49" s="13" t="s">
        <v>160</v>
      </c>
      <c r="B49" s="13" t="s">
        <v>129</v>
      </c>
      <c r="C49" s="13" t="s">
        <v>130</v>
      </c>
      <c r="D49" s="13">
        <v>11</v>
      </c>
      <c r="E49" s="13" t="s">
        <v>161</v>
      </c>
      <c r="F49" s="5">
        <v>2</v>
      </c>
      <c r="G49" s="6">
        <v>2</v>
      </c>
      <c r="H49" s="7" t="s">
        <v>162</v>
      </c>
      <c r="I49" s="8"/>
      <c r="J49" s="9" t="str">
        <f t="shared" si="1"/>
        <v/>
      </c>
      <c r="K49" s="10" t="s">
        <v>0</v>
      </c>
    </row>
    <row r="50" spans="1:11" x14ac:dyDescent="0.25">
      <c r="A50" s="13" t="s">
        <v>163</v>
      </c>
      <c r="B50" s="13" t="s">
        <v>129</v>
      </c>
      <c r="C50" s="13" t="s">
        <v>130</v>
      </c>
      <c r="D50" s="13">
        <v>12</v>
      </c>
      <c r="E50" s="13" t="s">
        <v>164</v>
      </c>
      <c r="F50" s="5">
        <v>4</v>
      </c>
      <c r="G50" s="6">
        <v>4</v>
      </c>
      <c r="H50" s="7" t="s">
        <v>165</v>
      </c>
      <c r="I50" s="8"/>
      <c r="J50" s="9" t="str">
        <f t="shared" si="1"/>
        <v/>
      </c>
      <c r="K50" s="10" t="s">
        <v>0</v>
      </c>
    </row>
    <row r="51" spans="1:11" x14ac:dyDescent="0.25">
      <c r="A51" s="13" t="s">
        <v>166</v>
      </c>
      <c r="B51" s="13" t="s">
        <v>129</v>
      </c>
      <c r="C51" s="13" t="s">
        <v>130</v>
      </c>
      <c r="D51" s="13">
        <v>13</v>
      </c>
      <c r="E51" s="13" t="s">
        <v>167</v>
      </c>
      <c r="F51" s="5">
        <v>3</v>
      </c>
      <c r="G51" s="6">
        <v>3</v>
      </c>
      <c r="H51" s="7" t="s">
        <v>168</v>
      </c>
      <c r="I51" s="8"/>
      <c r="J51" s="9" t="str">
        <f t="shared" si="1"/>
        <v/>
      </c>
      <c r="K51" s="10" t="s">
        <v>0</v>
      </c>
    </row>
    <row r="52" spans="1:11" x14ac:dyDescent="0.25">
      <c r="A52" s="13" t="s">
        <v>169</v>
      </c>
      <c r="B52" s="13" t="s">
        <v>129</v>
      </c>
      <c r="C52" s="13" t="s">
        <v>130</v>
      </c>
      <c r="D52" s="13">
        <v>14</v>
      </c>
      <c r="E52" s="13" t="s">
        <v>170</v>
      </c>
      <c r="F52" s="5">
        <v>2</v>
      </c>
      <c r="G52" s="6">
        <v>2</v>
      </c>
      <c r="H52" s="7" t="s">
        <v>171</v>
      </c>
      <c r="I52" s="8"/>
      <c r="J52" s="9" t="str">
        <f t="shared" si="1"/>
        <v/>
      </c>
      <c r="K52" s="10" t="s">
        <v>0</v>
      </c>
    </row>
    <row r="53" spans="1:11" ht="45" x14ac:dyDescent="0.25">
      <c r="A53" s="13" t="s">
        <v>172</v>
      </c>
      <c r="B53" s="13" t="s">
        <v>129</v>
      </c>
      <c r="C53" s="13" t="s">
        <v>130</v>
      </c>
      <c r="D53" s="13">
        <v>15</v>
      </c>
      <c r="E53" s="13" t="s">
        <v>173</v>
      </c>
      <c r="F53" s="5">
        <v>2</v>
      </c>
      <c r="G53" s="6">
        <v>2</v>
      </c>
      <c r="H53" s="7" t="s">
        <v>174</v>
      </c>
      <c r="I53" s="8"/>
      <c r="J53" s="9" t="str">
        <f t="shared" si="1"/>
        <v/>
      </c>
      <c r="K53" s="10" t="s">
        <v>0</v>
      </c>
    </row>
    <row r="54" spans="1:11" x14ac:dyDescent="0.25">
      <c r="A54" s="13" t="s">
        <v>175</v>
      </c>
      <c r="B54" s="13" t="s">
        <v>129</v>
      </c>
      <c r="C54" s="13" t="s">
        <v>130</v>
      </c>
      <c r="D54" s="13">
        <v>16</v>
      </c>
      <c r="E54" s="13" t="s">
        <v>176</v>
      </c>
      <c r="F54" s="5">
        <v>2</v>
      </c>
      <c r="G54" s="6">
        <v>2</v>
      </c>
      <c r="H54" s="7" t="s">
        <v>177</v>
      </c>
      <c r="I54" s="8"/>
      <c r="J54" s="9" t="str">
        <f t="shared" si="1"/>
        <v/>
      </c>
      <c r="K54" s="10" t="s">
        <v>0</v>
      </c>
    </row>
    <row r="55" spans="1:11" x14ac:dyDescent="0.25">
      <c r="A55" s="13" t="s">
        <v>178</v>
      </c>
      <c r="B55" s="13" t="s">
        <v>129</v>
      </c>
      <c r="C55" s="13" t="s">
        <v>130</v>
      </c>
      <c r="D55" s="13">
        <v>17</v>
      </c>
      <c r="E55" s="13" t="s">
        <v>179</v>
      </c>
      <c r="F55" s="5">
        <v>1</v>
      </c>
      <c r="G55" s="6">
        <v>1</v>
      </c>
      <c r="H55" s="7" t="s">
        <v>180</v>
      </c>
      <c r="I55" s="8"/>
      <c r="J55" s="9" t="str">
        <f t="shared" si="1"/>
        <v/>
      </c>
      <c r="K55" s="10" t="s">
        <v>0</v>
      </c>
    </row>
    <row r="56" spans="1:11" ht="30" x14ac:dyDescent="0.25">
      <c r="A56" s="13" t="s">
        <v>181</v>
      </c>
      <c r="B56" s="13" t="s">
        <v>129</v>
      </c>
      <c r="C56" s="13" t="s">
        <v>130</v>
      </c>
      <c r="D56" s="13">
        <v>18</v>
      </c>
      <c r="E56" s="13" t="s">
        <v>182</v>
      </c>
      <c r="F56" s="5">
        <v>0</v>
      </c>
      <c r="G56" s="6">
        <v>0</v>
      </c>
      <c r="H56" s="7" t="s">
        <v>183</v>
      </c>
      <c r="I56" s="8"/>
      <c r="J56" s="9" t="str">
        <f t="shared" si="1"/>
        <v/>
      </c>
      <c r="K56" s="10" t="s">
        <v>0</v>
      </c>
    </row>
    <row r="57" spans="1:11" ht="30" x14ac:dyDescent="0.25">
      <c r="A57" s="14" t="s">
        <v>184</v>
      </c>
      <c r="B57" s="14" t="s">
        <v>185</v>
      </c>
      <c r="C57" s="14" t="s">
        <v>130</v>
      </c>
      <c r="D57" s="14">
        <v>1</v>
      </c>
      <c r="E57" s="14" t="s">
        <v>186</v>
      </c>
      <c r="F57" s="5">
        <v>1</v>
      </c>
      <c r="G57" s="6">
        <v>1</v>
      </c>
      <c r="H57" s="7" t="s">
        <v>187</v>
      </c>
      <c r="I57" s="8"/>
      <c r="J57" s="9" t="str">
        <f t="shared" si="1"/>
        <v/>
      </c>
      <c r="K57" s="10" t="s">
        <v>0</v>
      </c>
    </row>
    <row r="58" spans="1:11" x14ac:dyDescent="0.25">
      <c r="A58" s="14" t="s">
        <v>188</v>
      </c>
      <c r="B58" s="14" t="s">
        <v>185</v>
      </c>
      <c r="C58" s="14" t="s">
        <v>130</v>
      </c>
      <c r="D58" s="14">
        <v>2</v>
      </c>
      <c r="E58" s="14" t="s">
        <v>189</v>
      </c>
      <c r="F58" s="5">
        <v>1</v>
      </c>
      <c r="G58" s="6">
        <v>1</v>
      </c>
      <c r="H58" s="7" t="s">
        <v>190</v>
      </c>
      <c r="I58" s="8"/>
      <c r="J58" s="9" t="str">
        <f t="shared" si="1"/>
        <v/>
      </c>
      <c r="K58" s="10" t="s">
        <v>0</v>
      </c>
    </row>
    <row r="59" spans="1:11" x14ac:dyDescent="0.25">
      <c r="A59" s="14" t="s">
        <v>191</v>
      </c>
      <c r="B59" s="14" t="s">
        <v>185</v>
      </c>
      <c r="C59" s="14" t="s">
        <v>130</v>
      </c>
      <c r="D59" s="14">
        <v>3</v>
      </c>
      <c r="E59" s="14" t="s">
        <v>192</v>
      </c>
      <c r="F59" s="5">
        <v>1</v>
      </c>
      <c r="G59" s="6">
        <v>1</v>
      </c>
      <c r="H59" s="7" t="s">
        <v>193</v>
      </c>
      <c r="I59" s="8"/>
      <c r="J59" s="9" t="str">
        <f t="shared" si="1"/>
        <v/>
      </c>
      <c r="K59" s="10" t="s">
        <v>0</v>
      </c>
    </row>
    <row r="60" spans="1:11" x14ac:dyDescent="0.25">
      <c r="A60" s="14" t="s">
        <v>194</v>
      </c>
      <c r="B60" s="14" t="s">
        <v>185</v>
      </c>
      <c r="C60" s="14" t="s">
        <v>130</v>
      </c>
      <c r="D60" s="14">
        <v>4</v>
      </c>
      <c r="E60" s="14" t="s">
        <v>195</v>
      </c>
      <c r="F60" s="5">
        <v>1</v>
      </c>
      <c r="G60" s="6">
        <v>1</v>
      </c>
      <c r="H60" s="7" t="s">
        <v>196</v>
      </c>
      <c r="I60" s="8"/>
      <c r="J60" s="9" t="str">
        <f t="shared" si="1"/>
        <v/>
      </c>
      <c r="K60" s="10" t="s">
        <v>0</v>
      </c>
    </row>
    <row r="61" spans="1:11" x14ac:dyDescent="0.25">
      <c r="A61" s="14" t="s">
        <v>197</v>
      </c>
      <c r="B61" s="14" t="s">
        <v>185</v>
      </c>
      <c r="C61" s="14" t="s">
        <v>130</v>
      </c>
      <c r="D61" s="14">
        <v>5</v>
      </c>
      <c r="E61" s="14" t="s">
        <v>198</v>
      </c>
      <c r="F61" s="5">
        <v>3</v>
      </c>
      <c r="G61" s="6">
        <v>3</v>
      </c>
      <c r="H61" s="7" t="s">
        <v>199</v>
      </c>
      <c r="I61" s="8"/>
      <c r="J61" s="9" t="str">
        <f t="shared" si="1"/>
        <v/>
      </c>
      <c r="K61" s="10" t="s">
        <v>0</v>
      </c>
    </row>
    <row r="62" spans="1:11" x14ac:dyDescent="0.25">
      <c r="A62" s="14" t="s">
        <v>200</v>
      </c>
      <c r="B62" s="14" t="s">
        <v>185</v>
      </c>
      <c r="C62" s="14" t="s">
        <v>130</v>
      </c>
      <c r="D62" s="14">
        <v>6</v>
      </c>
      <c r="E62" s="14" t="s">
        <v>201</v>
      </c>
      <c r="F62" s="5">
        <v>1</v>
      </c>
      <c r="G62" s="6">
        <v>1</v>
      </c>
      <c r="H62" s="7" t="s">
        <v>202</v>
      </c>
      <c r="I62" s="8"/>
      <c r="J62" s="9" t="str">
        <f t="shared" si="1"/>
        <v/>
      </c>
      <c r="K62" s="10" t="s">
        <v>0</v>
      </c>
    </row>
    <row r="63" spans="1:11" x14ac:dyDescent="0.25">
      <c r="A63" s="14" t="s">
        <v>203</v>
      </c>
      <c r="B63" s="14" t="s">
        <v>185</v>
      </c>
      <c r="C63" s="14" t="s">
        <v>130</v>
      </c>
      <c r="D63" s="14">
        <v>7</v>
      </c>
      <c r="E63" s="14" t="s">
        <v>204</v>
      </c>
      <c r="F63" s="5">
        <v>1</v>
      </c>
      <c r="G63" s="6">
        <v>1</v>
      </c>
      <c r="H63" s="7" t="s">
        <v>205</v>
      </c>
      <c r="I63" s="8"/>
      <c r="J63" s="9" t="str">
        <f t="shared" si="1"/>
        <v/>
      </c>
      <c r="K63" s="10" t="s">
        <v>0</v>
      </c>
    </row>
    <row r="64" spans="1:11" x14ac:dyDescent="0.25">
      <c r="A64" s="14" t="s">
        <v>206</v>
      </c>
      <c r="B64" s="14" t="s">
        <v>185</v>
      </c>
      <c r="C64" s="14" t="s">
        <v>130</v>
      </c>
      <c r="D64" s="14">
        <v>8</v>
      </c>
      <c r="E64" s="14" t="s">
        <v>207</v>
      </c>
      <c r="F64" s="5">
        <v>2</v>
      </c>
      <c r="G64" s="6">
        <v>2</v>
      </c>
      <c r="H64" s="7" t="s">
        <v>208</v>
      </c>
      <c r="I64" s="8"/>
      <c r="J64" s="9" t="str">
        <f t="shared" si="1"/>
        <v/>
      </c>
      <c r="K64" s="10" t="s">
        <v>0</v>
      </c>
    </row>
    <row r="65" spans="1:11" x14ac:dyDescent="0.25">
      <c r="A65" s="14" t="s">
        <v>209</v>
      </c>
      <c r="B65" s="14" t="s">
        <v>185</v>
      </c>
      <c r="C65" s="14" t="s">
        <v>130</v>
      </c>
      <c r="D65" s="14">
        <v>9</v>
      </c>
      <c r="E65" s="14" t="s">
        <v>210</v>
      </c>
      <c r="F65" s="5">
        <v>2</v>
      </c>
      <c r="G65" s="6">
        <v>2</v>
      </c>
      <c r="H65" s="7" t="s">
        <v>211</v>
      </c>
      <c r="I65" s="8"/>
      <c r="J65" s="9" t="str">
        <f t="shared" si="1"/>
        <v/>
      </c>
      <c r="K65" s="10" t="s">
        <v>0</v>
      </c>
    </row>
    <row r="66" spans="1:11" x14ac:dyDescent="0.25">
      <c r="A66" s="14" t="s">
        <v>212</v>
      </c>
      <c r="B66" s="14" t="s">
        <v>185</v>
      </c>
      <c r="C66" s="14" t="s">
        <v>130</v>
      </c>
      <c r="D66" s="14">
        <v>10</v>
      </c>
      <c r="E66" s="14" t="s">
        <v>213</v>
      </c>
      <c r="F66" s="5">
        <v>2</v>
      </c>
      <c r="G66" s="6">
        <v>2</v>
      </c>
      <c r="H66" s="7" t="s">
        <v>214</v>
      </c>
      <c r="I66" s="8"/>
      <c r="J66" s="9" t="str">
        <f t="shared" ref="J66:J97" si="2">IF(OR(G66="",I66=""),"",G66*I66)</f>
        <v/>
      </c>
      <c r="K66" s="10" t="s">
        <v>0</v>
      </c>
    </row>
    <row r="67" spans="1:11" x14ac:dyDescent="0.25">
      <c r="A67" s="14" t="s">
        <v>215</v>
      </c>
      <c r="B67" s="14" t="s">
        <v>185</v>
      </c>
      <c r="C67" s="14" t="s">
        <v>130</v>
      </c>
      <c r="D67" s="14">
        <v>11</v>
      </c>
      <c r="E67" s="14" t="s">
        <v>216</v>
      </c>
      <c r="F67" s="5">
        <v>1</v>
      </c>
      <c r="G67" s="6">
        <v>1</v>
      </c>
      <c r="H67" s="7" t="s">
        <v>217</v>
      </c>
      <c r="I67" s="8"/>
      <c r="J67" s="9" t="str">
        <f t="shared" si="2"/>
        <v/>
      </c>
      <c r="K67" s="10" t="s">
        <v>0</v>
      </c>
    </row>
    <row r="68" spans="1:11" x14ac:dyDescent="0.25">
      <c r="A68" s="14" t="s">
        <v>218</v>
      </c>
      <c r="B68" s="14" t="s">
        <v>185</v>
      </c>
      <c r="C68" s="14" t="s">
        <v>130</v>
      </c>
      <c r="D68" s="14">
        <v>12</v>
      </c>
      <c r="E68" s="14" t="s">
        <v>219</v>
      </c>
      <c r="F68" s="5">
        <v>1</v>
      </c>
      <c r="G68" s="6">
        <v>1</v>
      </c>
      <c r="H68" s="7" t="s">
        <v>220</v>
      </c>
      <c r="I68" s="8"/>
      <c r="J68" s="9" t="str">
        <f t="shared" si="2"/>
        <v/>
      </c>
      <c r="K68" s="10" t="s">
        <v>0</v>
      </c>
    </row>
    <row r="69" spans="1:11" x14ac:dyDescent="0.25">
      <c r="A69" s="14" t="s">
        <v>221</v>
      </c>
      <c r="B69" s="14" t="s">
        <v>185</v>
      </c>
      <c r="C69" s="14" t="s">
        <v>130</v>
      </c>
      <c r="D69" s="14">
        <v>13</v>
      </c>
      <c r="E69" s="14" t="s">
        <v>222</v>
      </c>
      <c r="F69" s="5">
        <v>3</v>
      </c>
      <c r="G69" s="6">
        <v>3</v>
      </c>
      <c r="H69" s="7" t="s">
        <v>223</v>
      </c>
      <c r="I69" s="8"/>
      <c r="J69" s="9" t="str">
        <f t="shared" si="2"/>
        <v/>
      </c>
      <c r="K69" s="10" t="s">
        <v>0</v>
      </c>
    </row>
    <row r="70" spans="1:11" x14ac:dyDescent="0.25">
      <c r="A70" s="14" t="s">
        <v>224</v>
      </c>
      <c r="B70" s="14" t="s">
        <v>185</v>
      </c>
      <c r="C70" s="14" t="s">
        <v>130</v>
      </c>
      <c r="D70" s="14">
        <v>20</v>
      </c>
      <c r="E70" s="14" t="s">
        <v>225</v>
      </c>
      <c r="F70" s="5">
        <v>0</v>
      </c>
      <c r="G70" s="6">
        <v>0</v>
      </c>
      <c r="H70" s="7" t="s">
        <v>226</v>
      </c>
      <c r="I70" s="8"/>
      <c r="J70" s="9" t="str">
        <f t="shared" si="2"/>
        <v/>
      </c>
      <c r="K70" s="10" t="s">
        <v>0</v>
      </c>
    </row>
    <row r="71" spans="1:11" x14ac:dyDescent="0.25">
      <c r="A71" s="14" t="s">
        <v>227</v>
      </c>
      <c r="B71" s="14" t="s">
        <v>185</v>
      </c>
      <c r="C71" s="14" t="s">
        <v>130</v>
      </c>
      <c r="D71" s="14">
        <v>14</v>
      </c>
      <c r="E71" s="14" t="s">
        <v>228</v>
      </c>
      <c r="F71" s="5">
        <v>4</v>
      </c>
      <c r="G71" s="6">
        <v>4</v>
      </c>
      <c r="H71" s="7" t="s">
        <v>229</v>
      </c>
      <c r="I71" s="8"/>
      <c r="J71" s="9" t="str">
        <f t="shared" si="2"/>
        <v/>
      </c>
      <c r="K71" s="10" t="s">
        <v>0</v>
      </c>
    </row>
    <row r="72" spans="1:11" x14ac:dyDescent="0.25">
      <c r="A72" s="14" t="s">
        <v>230</v>
      </c>
      <c r="B72" s="14" t="s">
        <v>185</v>
      </c>
      <c r="C72" s="14" t="s">
        <v>130</v>
      </c>
      <c r="D72" s="14">
        <v>15</v>
      </c>
      <c r="E72" s="14" t="s">
        <v>231</v>
      </c>
      <c r="F72" s="5">
        <v>4</v>
      </c>
      <c r="G72" s="6">
        <v>4</v>
      </c>
      <c r="H72" s="7" t="s">
        <v>232</v>
      </c>
      <c r="I72" s="8"/>
      <c r="J72" s="9" t="str">
        <f t="shared" si="2"/>
        <v/>
      </c>
      <c r="K72" s="10" t="s">
        <v>0</v>
      </c>
    </row>
    <row r="73" spans="1:11" x14ac:dyDescent="0.25">
      <c r="A73" s="14" t="s">
        <v>233</v>
      </c>
      <c r="B73" s="14" t="s">
        <v>185</v>
      </c>
      <c r="C73" s="14" t="s">
        <v>130</v>
      </c>
      <c r="D73" s="14">
        <v>16</v>
      </c>
      <c r="E73" s="14" t="s">
        <v>234</v>
      </c>
      <c r="F73" s="5">
        <v>1</v>
      </c>
      <c r="G73" s="6">
        <v>1</v>
      </c>
      <c r="H73" s="7" t="s">
        <v>235</v>
      </c>
      <c r="I73" s="8"/>
      <c r="J73" s="9" t="str">
        <f t="shared" si="2"/>
        <v/>
      </c>
      <c r="K73" s="10" t="s">
        <v>0</v>
      </c>
    </row>
    <row r="74" spans="1:11" x14ac:dyDescent="0.25">
      <c r="A74" s="14" t="s">
        <v>236</v>
      </c>
      <c r="B74" s="14" t="s">
        <v>185</v>
      </c>
      <c r="C74" s="14" t="s">
        <v>130</v>
      </c>
      <c r="D74" s="14">
        <v>17</v>
      </c>
      <c r="E74" s="14" t="s">
        <v>237</v>
      </c>
      <c r="F74" s="5">
        <v>15</v>
      </c>
      <c r="G74" s="6">
        <v>15</v>
      </c>
      <c r="H74" s="7" t="s">
        <v>238</v>
      </c>
      <c r="I74" s="8"/>
      <c r="J74" s="9" t="str">
        <f t="shared" si="2"/>
        <v/>
      </c>
      <c r="K74" s="10" t="s">
        <v>0</v>
      </c>
    </row>
    <row r="75" spans="1:11" x14ac:dyDescent="0.25">
      <c r="A75" s="14" t="s">
        <v>239</v>
      </c>
      <c r="B75" s="14" t="s">
        <v>185</v>
      </c>
      <c r="C75" s="14" t="s">
        <v>130</v>
      </c>
      <c r="D75" s="14">
        <v>17</v>
      </c>
      <c r="E75" s="14" t="s">
        <v>240</v>
      </c>
      <c r="F75" s="5">
        <v>3</v>
      </c>
      <c r="G75" s="6">
        <v>3</v>
      </c>
      <c r="H75" s="7" t="s">
        <v>241</v>
      </c>
      <c r="I75" s="8"/>
      <c r="J75" s="9" t="str">
        <f t="shared" si="2"/>
        <v/>
      </c>
      <c r="K75" s="10" t="s">
        <v>0</v>
      </c>
    </row>
    <row r="76" spans="1:11" x14ac:dyDescent="0.25">
      <c r="A76" s="14" t="s">
        <v>242</v>
      </c>
      <c r="B76" s="14" t="s">
        <v>185</v>
      </c>
      <c r="C76" s="14" t="s">
        <v>130</v>
      </c>
      <c r="D76" s="14">
        <v>19</v>
      </c>
      <c r="E76" s="14" t="s">
        <v>243</v>
      </c>
      <c r="F76" s="5">
        <v>0</v>
      </c>
      <c r="G76" s="6">
        <v>0</v>
      </c>
      <c r="H76" s="7" t="s">
        <v>244</v>
      </c>
      <c r="I76" s="8"/>
      <c r="J76" s="9" t="str">
        <f t="shared" si="2"/>
        <v/>
      </c>
      <c r="K76" s="10" t="s">
        <v>0</v>
      </c>
    </row>
    <row r="77" spans="1:11" x14ac:dyDescent="0.25">
      <c r="A77" s="14" t="s">
        <v>245</v>
      </c>
      <c r="B77" s="14" t="s">
        <v>185</v>
      </c>
      <c r="C77" s="14" t="s">
        <v>130</v>
      </c>
      <c r="D77" s="14">
        <v>20</v>
      </c>
      <c r="E77" s="14" t="s">
        <v>246</v>
      </c>
      <c r="F77" s="5">
        <v>0</v>
      </c>
      <c r="G77" s="6">
        <v>0</v>
      </c>
      <c r="H77" s="7" t="s">
        <v>247</v>
      </c>
      <c r="I77" s="8"/>
      <c r="J77" s="9" t="str">
        <f t="shared" si="2"/>
        <v/>
      </c>
      <c r="K77" s="10" t="s">
        <v>0</v>
      </c>
    </row>
    <row r="78" spans="1:11" x14ac:dyDescent="0.25">
      <c r="A78" s="14" t="s">
        <v>248</v>
      </c>
      <c r="B78" s="14" t="s">
        <v>185</v>
      </c>
      <c r="C78" s="14" t="s">
        <v>130</v>
      </c>
      <c r="D78" s="14">
        <v>19</v>
      </c>
      <c r="E78" s="14" t="s">
        <v>249</v>
      </c>
      <c r="F78" s="5">
        <v>2</v>
      </c>
      <c r="G78" s="6">
        <v>2</v>
      </c>
      <c r="H78" s="7" t="s">
        <v>250</v>
      </c>
      <c r="I78" s="8"/>
      <c r="J78" s="9" t="str">
        <f t="shared" si="2"/>
        <v/>
      </c>
      <c r="K78" s="10" t="s">
        <v>0</v>
      </c>
    </row>
    <row r="79" spans="1:11" x14ac:dyDescent="0.25">
      <c r="A79" s="14" t="s">
        <v>251</v>
      </c>
      <c r="B79" s="14" t="s">
        <v>185</v>
      </c>
      <c r="C79" s="14" t="s">
        <v>130</v>
      </c>
      <c r="D79" s="14">
        <v>21</v>
      </c>
      <c r="E79" s="14" t="s">
        <v>252</v>
      </c>
      <c r="F79" s="5">
        <v>0</v>
      </c>
      <c r="G79" s="6">
        <v>0</v>
      </c>
      <c r="H79" s="7" t="s">
        <v>253</v>
      </c>
      <c r="I79" s="8"/>
      <c r="J79" s="9" t="str">
        <f t="shared" si="2"/>
        <v/>
      </c>
      <c r="K79" s="10" t="s">
        <v>0</v>
      </c>
    </row>
    <row r="80" spans="1:11" x14ac:dyDescent="0.25">
      <c r="A80" s="14" t="s">
        <v>254</v>
      </c>
      <c r="B80" s="14" t="s">
        <v>185</v>
      </c>
      <c r="C80" s="14" t="s">
        <v>130</v>
      </c>
      <c r="D80" s="14">
        <v>22</v>
      </c>
      <c r="E80" s="14" t="s">
        <v>255</v>
      </c>
      <c r="F80" s="5">
        <v>0</v>
      </c>
      <c r="G80" s="6">
        <v>0</v>
      </c>
      <c r="H80" s="7" t="s">
        <v>256</v>
      </c>
      <c r="I80" s="8"/>
      <c r="J80" s="9" t="str">
        <f t="shared" si="2"/>
        <v/>
      </c>
      <c r="K80" s="10" t="s">
        <v>0</v>
      </c>
    </row>
    <row r="81" spans="1:11" x14ac:dyDescent="0.25">
      <c r="A81" s="14" t="s">
        <v>257</v>
      </c>
      <c r="B81" s="14" t="s">
        <v>185</v>
      </c>
      <c r="C81" s="14" t="s">
        <v>130</v>
      </c>
      <c r="D81" s="14">
        <v>23</v>
      </c>
      <c r="E81" s="14" t="s">
        <v>258</v>
      </c>
      <c r="F81" s="5">
        <v>0</v>
      </c>
      <c r="G81" s="6">
        <v>0</v>
      </c>
      <c r="H81" s="7" t="s">
        <v>259</v>
      </c>
      <c r="I81" s="8"/>
      <c r="J81" s="9" t="str">
        <f t="shared" si="2"/>
        <v/>
      </c>
      <c r="K81" s="10" t="s">
        <v>0</v>
      </c>
    </row>
    <row r="82" spans="1:11" ht="30" x14ac:dyDescent="0.25">
      <c r="A82" s="14" t="s">
        <v>260</v>
      </c>
      <c r="B82" s="14" t="s">
        <v>185</v>
      </c>
      <c r="C82" s="14" t="s">
        <v>130</v>
      </c>
      <c r="D82" s="14">
        <v>24</v>
      </c>
      <c r="E82" s="14" t="s">
        <v>261</v>
      </c>
      <c r="F82" s="5">
        <v>17</v>
      </c>
      <c r="G82" s="6">
        <v>17</v>
      </c>
      <c r="H82" s="7" t="s">
        <v>262</v>
      </c>
      <c r="I82" s="8"/>
      <c r="J82" s="9" t="str">
        <f t="shared" si="2"/>
        <v/>
      </c>
      <c r="K82" s="10" t="s">
        <v>0</v>
      </c>
    </row>
    <row r="83" spans="1:11" x14ac:dyDescent="0.25">
      <c r="A83" s="14" t="s">
        <v>263</v>
      </c>
      <c r="B83" s="14" t="s">
        <v>185</v>
      </c>
      <c r="C83" s="14" t="s">
        <v>130</v>
      </c>
      <c r="D83" s="14">
        <v>25</v>
      </c>
      <c r="E83" s="14" t="s">
        <v>179</v>
      </c>
      <c r="F83" s="5">
        <v>3</v>
      </c>
      <c r="G83" s="6">
        <v>3</v>
      </c>
      <c r="H83" s="7" t="s">
        <v>264</v>
      </c>
      <c r="I83" s="8"/>
      <c r="J83" s="9" t="str">
        <f t="shared" si="2"/>
        <v/>
      </c>
      <c r="K83" s="10" t="s">
        <v>0</v>
      </c>
    </row>
    <row r="84" spans="1:11" ht="30" x14ac:dyDescent="0.25">
      <c r="A84" s="14" t="s">
        <v>265</v>
      </c>
      <c r="B84" s="14" t="s">
        <v>185</v>
      </c>
      <c r="C84" s="14" t="s">
        <v>130</v>
      </c>
      <c r="D84" s="14">
        <v>26</v>
      </c>
      <c r="E84" s="14" t="s">
        <v>182</v>
      </c>
      <c r="F84" s="5">
        <v>0</v>
      </c>
      <c r="G84" s="6">
        <v>0</v>
      </c>
      <c r="H84" s="7" t="s">
        <v>183</v>
      </c>
      <c r="I84" s="8"/>
      <c r="J84" s="9" t="str">
        <f t="shared" si="2"/>
        <v/>
      </c>
      <c r="K84" s="10" t="s">
        <v>0</v>
      </c>
    </row>
    <row r="85" spans="1:11" x14ac:dyDescent="0.25">
      <c r="A85" s="15" t="s">
        <v>266</v>
      </c>
      <c r="B85" s="15" t="s">
        <v>267</v>
      </c>
      <c r="C85" s="15" t="s">
        <v>130</v>
      </c>
      <c r="D85" s="15">
        <v>1</v>
      </c>
      <c r="E85" s="15" t="s">
        <v>268</v>
      </c>
      <c r="F85" s="5">
        <v>1</v>
      </c>
      <c r="G85" s="6">
        <v>1</v>
      </c>
      <c r="H85" s="7" t="s">
        <v>269</v>
      </c>
      <c r="I85" s="8"/>
      <c r="J85" s="9" t="str">
        <f t="shared" si="2"/>
        <v/>
      </c>
      <c r="K85" s="10" t="s">
        <v>0</v>
      </c>
    </row>
    <row r="86" spans="1:11" x14ac:dyDescent="0.25">
      <c r="A86" s="15" t="s">
        <v>270</v>
      </c>
      <c r="B86" s="15" t="s">
        <v>267</v>
      </c>
      <c r="C86" s="15" t="s">
        <v>130</v>
      </c>
      <c r="D86" s="15">
        <v>2</v>
      </c>
      <c r="E86" s="15" t="s">
        <v>271</v>
      </c>
      <c r="F86" s="5">
        <v>1</v>
      </c>
      <c r="G86" s="6">
        <v>1</v>
      </c>
      <c r="H86" s="7" t="s">
        <v>272</v>
      </c>
      <c r="I86" s="8"/>
      <c r="J86" s="9" t="str">
        <f t="shared" si="2"/>
        <v/>
      </c>
      <c r="K86" s="10" t="s">
        <v>0</v>
      </c>
    </row>
    <row r="87" spans="1:11" x14ac:dyDescent="0.25">
      <c r="A87" s="15" t="s">
        <v>273</v>
      </c>
      <c r="B87" s="15" t="s">
        <v>267</v>
      </c>
      <c r="C87" s="15" t="s">
        <v>130</v>
      </c>
      <c r="D87" s="15">
        <v>3</v>
      </c>
      <c r="E87" s="15" t="s">
        <v>274</v>
      </c>
      <c r="F87" s="5">
        <v>1</v>
      </c>
      <c r="G87" s="6">
        <v>1</v>
      </c>
      <c r="H87" s="7" t="s">
        <v>275</v>
      </c>
      <c r="I87" s="8"/>
      <c r="J87" s="9" t="str">
        <f t="shared" si="2"/>
        <v/>
      </c>
      <c r="K87" s="10" t="s">
        <v>0</v>
      </c>
    </row>
    <row r="88" spans="1:11" x14ac:dyDescent="0.25">
      <c r="A88" s="15" t="s">
        <v>276</v>
      </c>
      <c r="B88" s="15" t="s">
        <v>267</v>
      </c>
      <c r="C88" s="15" t="s">
        <v>130</v>
      </c>
      <c r="D88" s="15">
        <v>4</v>
      </c>
      <c r="E88" s="15" t="s">
        <v>277</v>
      </c>
      <c r="F88" s="5">
        <v>4</v>
      </c>
      <c r="G88" s="6">
        <v>4</v>
      </c>
      <c r="H88" s="7" t="s">
        <v>278</v>
      </c>
      <c r="I88" s="8"/>
      <c r="J88" s="9" t="str">
        <f t="shared" si="2"/>
        <v/>
      </c>
      <c r="K88" s="10" t="s">
        <v>0</v>
      </c>
    </row>
    <row r="89" spans="1:11" x14ac:dyDescent="0.25">
      <c r="A89" s="15" t="s">
        <v>279</v>
      </c>
      <c r="B89" s="15" t="s">
        <v>267</v>
      </c>
      <c r="C89" s="15" t="s">
        <v>130</v>
      </c>
      <c r="D89" s="15">
        <v>5</v>
      </c>
      <c r="E89" s="15" t="s">
        <v>274</v>
      </c>
      <c r="F89" s="5">
        <v>4</v>
      </c>
      <c r="G89" s="6">
        <v>4</v>
      </c>
      <c r="H89" s="7" t="s">
        <v>275</v>
      </c>
      <c r="I89" s="8"/>
      <c r="J89" s="9" t="str">
        <f t="shared" si="2"/>
        <v/>
      </c>
      <c r="K89" s="10" t="s">
        <v>0</v>
      </c>
    </row>
    <row r="90" spans="1:11" x14ac:dyDescent="0.25">
      <c r="A90" s="15" t="s">
        <v>280</v>
      </c>
      <c r="B90" s="15" t="s">
        <v>267</v>
      </c>
      <c r="C90" s="15" t="s">
        <v>130</v>
      </c>
      <c r="D90" s="15">
        <v>6</v>
      </c>
      <c r="E90" s="15" t="s">
        <v>281</v>
      </c>
      <c r="F90" s="5">
        <v>2</v>
      </c>
      <c r="G90" s="6">
        <v>2</v>
      </c>
      <c r="H90" s="7" t="s">
        <v>282</v>
      </c>
      <c r="I90" s="8"/>
      <c r="J90" s="9" t="str">
        <f t="shared" si="2"/>
        <v/>
      </c>
      <c r="K90" s="10" t="s">
        <v>0</v>
      </c>
    </row>
    <row r="91" spans="1:11" x14ac:dyDescent="0.25">
      <c r="A91" s="15" t="s">
        <v>283</v>
      </c>
      <c r="B91" s="15" t="s">
        <v>267</v>
      </c>
      <c r="C91" s="15" t="s">
        <v>130</v>
      </c>
      <c r="D91" s="15">
        <v>7</v>
      </c>
      <c r="E91" s="15" t="s">
        <v>284</v>
      </c>
      <c r="F91" s="5">
        <v>0</v>
      </c>
      <c r="G91" s="6">
        <v>0</v>
      </c>
      <c r="H91" s="7" t="s">
        <v>285</v>
      </c>
      <c r="I91" s="8"/>
      <c r="J91" s="9" t="str">
        <f t="shared" si="2"/>
        <v/>
      </c>
      <c r="K91" s="10" t="s">
        <v>0</v>
      </c>
    </row>
    <row r="92" spans="1:11" x14ac:dyDescent="0.25">
      <c r="A92" s="15" t="s">
        <v>286</v>
      </c>
      <c r="B92" s="15" t="s">
        <v>267</v>
      </c>
      <c r="C92" s="15" t="s">
        <v>130</v>
      </c>
      <c r="D92" s="15">
        <v>8</v>
      </c>
      <c r="E92" s="15" t="s">
        <v>179</v>
      </c>
      <c r="F92" s="5">
        <v>6</v>
      </c>
      <c r="G92" s="6">
        <v>6</v>
      </c>
      <c r="H92" s="7" t="s">
        <v>264</v>
      </c>
      <c r="I92" s="8"/>
      <c r="J92" s="9" t="str">
        <f t="shared" si="2"/>
        <v/>
      </c>
      <c r="K92" s="10" t="s">
        <v>0</v>
      </c>
    </row>
    <row r="93" spans="1:11" ht="30" x14ac:dyDescent="0.25">
      <c r="A93" s="15" t="s">
        <v>287</v>
      </c>
      <c r="B93" s="15" t="s">
        <v>267</v>
      </c>
      <c r="C93" s="15" t="s">
        <v>130</v>
      </c>
      <c r="D93" s="15">
        <v>9</v>
      </c>
      <c r="E93" s="15" t="s">
        <v>182</v>
      </c>
      <c r="F93" s="5">
        <v>0</v>
      </c>
      <c r="G93" s="6">
        <v>0</v>
      </c>
      <c r="H93" s="7" t="s">
        <v>183</v>
      </c>
      <c r="I93" s="8"/>
      <c r="J93" s="9" t="str">
        <f t="shared" si="2"/>
        <v/>
      </c>
      <c r="K93" s="10" t="s">
        <v>0</v>
      </c>
    </row>
    <row r="94" spans="1:11" ht="30" x14ac:dyDescent="0.25">
      <c r="A94" s="16" t="s">
        <v>288</v>
      </c>
      <c r="B94" s="16" t="s">
        <v>289</v>
      </c>
      <c r="C94" s="16" t="s">
        <v>130</v>
      </c>
      <c r="D94" s="16" t="s">
        <v>0</v>
      </c>
      <c r="E94" s="16" t="s">
        <v>290</v>
      </c>
      <c r="F94" s="5">
        <v>1</v>
      </c>
      <c r="G94" s="6">
        <v>1</v>
      </c>
      <c r="H94" s="7" t="s">
        <v>291</v>
      </c>
      <c r="I94" s="8"/>
      <c r="J94" s="9" t="str">
        <f t="shared" si="2"/>
        <v/>
      </c>
      <c r="K94" s="10" t="s">
        <v>0</v>
      </c>
    </row>
    <row r="95" spans="1:11" x14ac:dyDescent="0.25">
      <c r="A95" s="16" t="s">
        <v>292</v>
      </c>
      <c r="B95" s="16" t="s">
        <v>289</v>
      </c>
      <c r="C95" s="16" t="s">
        <v>130</v>
      </c>
      <c r="D95" s="16" t="s">
        <v>0</v>
      </c>
      <c r="E95" s="16" t="s">
        <v>293</v>
      </c>
      <c r="F95" s="5">
        <v>2</v>
      </c>
      <c r="G95" s="6">
        <v>2</v>
      </c>
      <c r="H95" s="7" t="s">
        <v>294</v>
      </c>
      <c r="I95" s="8"/>
      <c r="J95" s="9" t="str">
        <f t="shared" si="2"/>
        <v/>
      </c>
      <c r="K95" s="10" t="s">
        <v>0</v>
      </c>
    </row>
    <row r="96" spans="1:11" ht="30" x14ac:dyDescent="0.25">
      <c r="A96" s="16" t="s">
        <v>295</v>
      </c>
      <c r="B96" s="16" t="s">
        <v>289</v>
      </c>
      <c r="C96" s="16" t="s">
        <v>130</v>
      </c>
      <c r="D96" s="16" t="s">
        <v>0</v>
      </c>
      <c r="E96" s="16" t="s">
        <v>296</v>
      </c>
      <c r="F96" s="5">
        <v>1</v>
      </c>
      <c r="G96" s="6">
        <v>1</v>
      </c>
      <c r="H96" s="7" t="s">
        <v>297</v>
      </c>
      <c r="I96" s="8"/>
      <c r="J96" s="9" t="str">
        <f t="shared" si="2"/>
        <v/>
      </c>
      <c r="K96" s="10" t="s">
        <v>0</v>
      </c>
    </row>
    <row r="97" spans="1:11" ht="30" x14ac:dyDescent="0.25">
      <c r="A97" s="16" t="s">
        <v>298</v>
      </c>
      <c r="B97" s="16" t="s">
        <v>289</v>
      </c>
      <c r="C97" s="16" t="s">
        <v>130</v>
      </c>
      <c r="D97" s="16" t="s">
        <v>0</v>
      </c>
      <c r="E97" s="16" t="s">
        <v>299</v>
      </c>
      <c r="F97" s="5">
        <v>1</v>
      </c>
      <c r="G97" s="6">
        <v>1</v>
      </c>
      <c r="H97" s="7" t="s">
        <v>0</v>
      </c>
      <c r="I97" s="8"/>
      <c r="J97" s="9" t="str">
        <f t="shared" si="2"/>
        <v/>
      </c>
      <c r="K97" s="10" t="s">
        <v>0</v>
      </c>
    </row>
    <row r="98" spans="1:11" ht="45" x14ac:dyDescent="0.25">
      <c r="A98" s="17" t="s">
        <v>300</v>
      </c>
      <c r="B98" s="17" t="s">
        <v>301</v>
      </c>
      <c r="C98" s="17" t="s">
        <v>302</v>
      </c>
      <c r="D98" s="17" t="s">
        <v>0</v>
      </c>
      <c r="E98" s="17" t="s">
        <v>303</v>
      </c>
      <c r="F98" s="5">
        <v>1</v>
      </c>
      <c r="G98" s="6">
        <v>1</v>
      </c>
      <c r="H98" s="7" t="s">
        <v>304</v>
      </c>
      <c r="I98" s="8"/>
      <c r="J98" s="9" t="str">
        <f t="shared" ref="J98:J129" si="3">IF(OR(G98="",I98=""),"",G98*I98)</f>
        <v/>
      </c>
      <c r="K98" s="10" t="s">
        <v>0</v>
      </c>
    </row>
    <row r="99" spans="1:11" ht="45" x14ac:dyDescent="0.25">
      <c r="A99" s="17" t="s">
        <v>305</v>
      </c>
      <c r="B99" s="17" t="s">
        <v>301</v>
      </c>
      <c r="C99" s="17" t="s">
        <v>302</v>
      </c>
      <c r="D99" s="17" t="s">
        <v>0</v>
      </c>
      <c r="E99" s="17" t="s">
        <v>306</v>
      </c>
      <c r="F99" s="5">
        <v>3</v>
      </c>
      <c r="G99" s="6">
        <v>3</v>
      </c>
      <c r="H99" s="7" t="s">
        <v>0</v>
      </c>
      <c r="I99" s="8"/>
      <c r="J99" s="9" t="str">
        <f t="shared" si="3"/>
        <v/>
      </c>
      <c r="K99" s="10" t="s">
        <v>0</v>
      </c>
    </row>
    <row r="100" spans="1:11" ht="45" x14ac:dyDescent="0.25">
      <c r="A100" s="17" t="s">
        <v>307</v>
      </c>
      <c r="B100" s="17" t="s">
        <v>301</v>
      </c>
      <c r="C100" s="17" t="s">
        <v>302</v>
      </c>
      <c r="D100" s="17" t="s">
        <v>0</v>
      </c>
      <c r="E100" s="17" t="s">
        <v>308</v>
      </c>
      <c r="F100" s="5">
        <v>1</v>
      </c>
      <c r="G100" s="6">
        <v>1</v>
      </c>
      <c r="H100" s="7" t="s">
        <v>0</v>
      </c>
      <c r="I100" s="8"/>
      <c r="J100" s="9" t="str">
        <f t="shared" si="3"/>
        <v/>
      </c>
      <c r="K100" s="10" t="s">
        <v>0</v>
      </c>
    </row>
    <row r="101" spans="1:11" ht="45" x14ac:dyDescent="0.25">
      <c r="A101" s="17" t="s">
        <v>309</v>
      </c>
      <c r="B101" s="17" t="s">
        <v>301</v>
      </c>
      <c r="C101" s="17" t="s">
        <v>302</v>
      </c>
      <c r="D101" s="17" t="s">
        <v>0</v>
      </c>
      <c r="E101" s="17" t="s">
        <v>310</v>
      </c>
      <c r="F101" s="5">
        <v>1</v>
      </c>
      <c r="G101" s="6">
        <v>1</v>
      </c>
      <c r="H101" s="7" t="s">
        <v>311</v>
      </c>
      <c r="I101" s="8"/>
      <c r="J101" s="9" t="str">
        <f t="shared" si="3"/>
        <v/>
      </c>
      <c r="K101" s="10" t="s">
        <v>0</v>
      </c>
    </row>
    <row r="102" spans="1:11" ht="45" x14ac:dyDescent="0.25">
      <c r="A102" s="17" t="s">
        <v>312</v>
      </c>
      <c r="B102" s="17" t="s">
        <v>301</v>
      </c>
      <c r="C102" s="17" t="s">
        <v>302</v>
      </c>
      <c r="D102" s="17" t="s">
        <v>0</v>
      </c>
      <c r="E102" s="17" t="s">
        <v>313</v>
      </c>
      <c r="F102" s="5">
        <v>2</v>
      </c>
      <c r="G102" s="6">
        <v>2</v>
      </c>
      <c r="H102" s="7" t="s">
        <v>0</v>
      </c>
      <c r="I102" s="8"/>
      <c r="J102" s="9" t="str">
        <f t="shared" si="3"/>
        <v/>
      </c>
      <c r="K102" s="10" t="s">
        <v>0</v>
      </c>
    </row>
    <row r="103" spans="1:11" ht="45" x14ac:dyDescent="0.25">
      <c r="A103" s="17" t="s">
        <v>314</v>
      </c>
      <c r="B103" s="17" t="s">
        <v>301</v>
      </c>
      <c r="C103" s="17" t="s">
        <v>302</v>
      </c>
      <c r="D103" s="17" t="s">
        <v>0</v>
      </c>
      <c r="E103" s="17" t="s">
        <v>315</v>
      </c>
      <c r="F103" s="5">
        <v>1</v>
      </c>
      <c r="G103" s="6">
        <v>1</v>
      </c>
      <c r="H103" s="7" t="s">
        <v>316</v>
      </c>
      <c r="I103" s="8"/>
      <c r="J103" s="9" t="str">
        <f t="shared" si="3"/>
        <v/>
      </c>
      <c r="K103" s="10" t="s">
        <v>0</v>
      </c>
    </row>
    <row r="104" spans="1:11" ht="45" x14ac:dyDescent="0.25">
      <c r="A104" s="17" t="s">
        <v>317</v>
      </c>
      <c r="B104" s="17" t="s">
        <v>301</v>
      </c>
      <c r="C104" s="17" t="s">
        <v>302</v>
      </c>
      <c r="D104" s="17" t="s">
        <v>0</v>
      </c>
      <c r="E104" s="17" t="s">
        <v>318</v>
      </c>
      <c r="F104" s="5">
        <v>1</v>
      </c>
      <c r="G104" s="6">
        <v>1</v>
      </c>
      <c r="H104" s="7" t="s">
        <v>0</v>
      </c>
      <c r="I104" s="8"/>
      <c r="J104" s="9" t="str">
        <f t="shared" si="3"/>
        <v/>
      </c>
      <c r="K104" s="10" t="s">
        <v>0</v>
      </c>
    </row>
    <row r="105" spans="1:11" ht="45" x14ac:dyDescent="0.25">
      <c r="A105" s="17" t="s">
        <v>319</v>
      </c>
      <c r="B105" s="17" t="s">
        <v>301</v>
      </c>
      <c r="C105" s="17" t="s">
        <v>302</v>
      </c>
      <c r="D105" s="17" t="s">
        <v>0</v>
      </c>
      <c r="E105" s="17" t="s">
        <v>320</v>
      </c>
      <c r="F105" s="5">
        <v>2</v>
      </c>
      <c r="G105" s="6">
        <v>2</v>
      </c>
      <c r="H105" s="7" t="s">
        <v>0</v>
      </c>
      <c r="I105" s="8"/>
      <c r="J105" s="9" t="str">
        <f t="shared" si="3"/>
        <v/>
      </c>
      <c r="K105" s="10" t="s">
        <v>0</v>
      </c>
    </row>
    <row r="106" spans="1:11" ht="45" x14ac:dyDescent="0.25">
      <c r="A106" s="17" t="s">
        <v>321</v>
      </c>
      <c r="B106" s="17" t="s">
        <v>301</v>
      </c>
      <c r="C106" s="17" t="s">
        <v>302</v>
      </c>
      <c r="D106" s="17" t="s">
        <v>0</v>
      </c>
      <c r="E106" s="17" t="s">
        <v>322</v>
      </c>
      <c r="F106" s="5">
        <v>1</v>
      </c>
      <c r="G106" s="6">
        <v>1</v>
      </c>
      <c r="H106" s="7" t="s">
        <v>0</v>
      </c>
      <c r="I106" s="8"/>
      <c r="J106" s="9" t="str">
        <f t="shared" si="3"/>
        <v/>
      </c>
      <c r="K106" s="10" t="s">
        <v>0</v>
      </c>
    </row>
    <row r="107" spans="1:11" ht="45" x14ac:dyDescent="0.25">
      <c r="A107" s="17" t="s">
        <v>323</v>
      </c>
      <c r="B107" s="17" t="s">
        <v>301</v>
      </c>
      <c r="C107" s="17" t="s">
        <v>302</v>
      </c>
      <c r="D107" s="17" t="s">
        <v>0</v>
      </c>
      <c r="E107" s="17" t="s">
        <v>324</v>
      </c>
      <c r="F107" s="5">
        <v>5</v>
      </c>
      <c r="G107" s="6">
        <v>5</v>
      </c>
      <c r="H107" s="7" t="s">
        <v>0</v>
      </c>
      <c r="I107" s="8"/>
      <c r="J107" s="9" t="str">
        <f t="shared" si="3"/>
        <v/>
      </c>
      <c r="K107" s="10" t="s">
        <v>0</v>
      </c>
    </row>
    <row r="108" spans="1:11" ht="45" x14ac:dyDescent="0.25">
      <c r="A108" s="17" t="s">
        <v>325</v>
      </c>
      <c r="B108" s="17" t="s">
        <v>301</v>
      </c>
      <c r="C108" s="17" t="s">
        <v>302</v>
      </c>
      <c r="D108" s="17" t="s">
        <v>0</v>
      </c>
      <c r="E108" s="17" t="s">
        <v>326</v>
      </c>
      <c r="F108" s="5">
        <v>15</v>
      </c>
      <c r="G108" s="6">
        <v>15</v>
      </c>
      <c r="H108" s="7" t="s">
        <v>0</v>
      </c>
      <c r="I108" s="8"/>
      <c r="J108" s="9" t="str">
        <f t="shared" si="3"/>
        <v/>
      </c>
      <c r="K108" s="10" t="s">
        <v>0</v>
      </c>
    </row>
    <row r="109" spans="1:11" ht="45" x14ac:dyDescent="0.25">
      <c r="A109" s="17" t="s">
        <v>327</v>
      </c>
      <c r="B109" s="17" t="s">
        <v>301</v>
      </c>
      <c r="C109" s="17" t="s">
        <v>302</v>
      </c>
      <c r="D109" s="17" t="s">
        <v>0</v>
      </c>
      <c r="E109" s="17" t="s">
        <v>328</v>
      </c>
      <c r="F109" s="5">
        <v>1</v>
      </c>
      <c r="G109" s="6">
        <v>1</v>
      </c>
      <c r="H109" s="7" t="s">
        <v>0</v>
      </c>
      <c r="I109" s="8"/>
      <c r="J109" s="9" t="str">
        <f t="shared" si="3"/>
        <v/>
      </c>
      <c r="K109" s="10" t="s">
        <v>0</v>
      </c>
    </row>
    <row r="110" spans="1:11" ht="45" x14ac:dyDescent="0.25">
      <c r="A110" s="17" t="s">
        <v>329</v>
      </c>
      <c r="B110" s="17" t="s">
        <v>301</v>
      </c>
      <c r="C110" s="17" t="s">
        <v>302</v>
      </c>
      <c r="D110" s="17" t="s">
        <v>0</v>
      </c>
      <c r="E110" s="17" t="s">
        <v>330</v>
      </c>
      <c r="F110" s="5">
        <v>5</v>
      </c>
      <c r="G110" s="6">
        <v>5</v>
      </c>
      <c r="H110" s="7" t="s">
        <v>0</v>
      </c>
      <c r="I110" s="8"/>
      <c r="J110" s="9" t="str">
        <f t="shared" si="3"/>
        <v/>
      </c>
      <c r="K110" s="10" t="s">
        <v>0</v>
      </c>
    </row>
    <row r="111" spans="1:11" ht="45" x14ac:dyDescent="0.25">
      <c r="A111" s="17" t="s">
        <v>331</v>
      </c>
      <c r="B111" s="17" t="s">
        <v>301</v>
      </c>
      <c r="C111" s="17" t="s">
        <v>302</v>
      </c>
      <c r="D111" s="17" t="s">
        <v>0</v>
      </c>
      <c r="E111" s="17" t="s">
        <v>332</v>
      </c>
      <c r="F111" s="5">
        <v>33</v>
      </c>
      <c r="G111" s="6">
        <v>33</v>
      </c>
      <c r="H111" s="7" t="s">
        <v>0</v>
      </c>
      <c r="I111" s="8"/>
      <c r="J111" s="9" t="str">
        <f t="shared" si="3"/>
        <v/>
      </c>
      <c r="K111" s="10" t="s">
        <v>0</v>
      </c>
    </row>
    <row r="112" spans="1:11" ht="45" x14ac:dyDescent="0.25">
      <c r="A112" s="17" t="s">
        <v>333</v>
      </c>
      <c r="B112" s="17" t="s">
        <v>301</v>
      </c>
      <c r="C112" s="17" t="s">
        <v>302</v>
      </c>
      <c r="D112" s="17" t="s">
        <v>0</v>
      </c>
      <c r="E112" s="17" t="s">
        <v>334</v>
      </c>
      <c r="F112" s="5">
        <v>23</v>
      </c>
      <c r="G112" s="6">
        <v>23</v>
      </c>
      <c r="H112" s="7" t="s">
        <v>0</v>
      </c>
      <c r="I112" s="8"/>
      <c r="J112" s="9" t="str">
        <f t="shared" si="3"/>
        <v/>
      </c>
      <c r="K112" s="10" t="s">
        <v>0</v>
      </c>
    </row>
    <row r="113" spans="1:11" ht="45" x14ac:dyDescent="0.25">
      <c r="A113" s="17" t="s">
        <v>335</v>
      </c>
      <c r="B113" s="17" t="s">
        <v>301</v>
      </c>
      <c r="C113" s="17" t="s">
        <v>302</v>
      </c>
      <c r="D113" s="17" t="s">
        <v>0</v>
      </c>
      <c r="E113" s="17" t="s">
        <v>336</v>
      </c>
      <c r="F113" s="5">
        <v>6</v>
      </c>
      <c r="G113" s="6">
        <v>6</v>
      </c>
      <c r="H113" s="7" t="s">
        <v>0</v>
      </c>
      <c r="I113" s="8"/>
      <c r="J113" s="9" t="str">
        <f t="shared" si="3"/>
        <v/>
      </c>
      <c r="K113" s="10" t="s">
        <v>0</v>
      </c>
    </row>
    <row r="114" spans="1:11" ht="45" x14ac:dyDescent="0.25">
      <c r="A114" s="17" t="s">
        <v>337</v>
      </c>
      <c r="B114" s="17" t="s">
        <v>301</v>
      </c>
      <c r="C114" s="17" t="s">
        <v>302</v>
      </c>
      <c r="D114" s="17" t="s">
        <v>0</v>
      </c>
      <c r="E114" s="17" t="s">
        <v>338</v>
      </c>
      <c r="F114" s="5">
        <v>2</v>
      </c>
      <c r="G114" s="6">
        <v>2</v>
      </c>
      <c r="H114" s="7" t="s">
        <v>0</v>
      </c>
      <c r="I114" s="8"/>
      <c r="J114" s="9" t="str">
        <f t="shared" si="3"/>
        <v/>
      </c>
      <c r="K114" s="10" t="s">
        <v>0</v>
      </c>
    </row>
    <row r="115" spans="1:11" ht="45" x14ac:dyDescent="0.25">
      <c r="A115" s="17" t="s">
        <v>339</v>
      </c>
      <c r="B115" s="17" t="s">
        <v>301</v>
      </c>
      <c r="C115" s="17" t="s">
        <v>302</v>
      </c>
      <c r="D115" s="17" t="s">
        <v>0</v>
      </c>
      <c r="E115" s="17" t="s">
        <v>340</v>
      </c>
      <c r="F115" s="5">
        <v>5</v>
      </c>
      <c r="G115" s="6">
        <v>5</v>
      </c>
      <c r="H115" s="7" t="s">
        <v>0</v>
      </c>
      <c r="I115" s="8"/>
      <c r="J115" s="9" t="str">
        <f t="shared" si="3"/>
        <v/>
      </c>
      <c r="K115" s="10" t="s">
        <v>0</v>
      </c>
    </row>
    <row r="116" spans="1:11" ht="45" x14ac:dyDescent="0.25">
      <c r="A116" s="17" t="s">
        <v>341</v>
      </c>
      <c r="B116" s="17" t="s">
        <v>301</v>
      </c>
      <c r="C116" s="17" t="s">
        <v>302</v>
      </c>
      <c r="D116" s="17" t="s">
        <v>0</v>
      </c>
      <c r="E116" s="17" t="s">
        <v>342</v>
      </c>
      <c r="F116" s="5">
        <v>13</v>
      </c>
      <c r="G116" s="6">
        <v>13</v>
      </c>
      <c r="H116" s="7" t="s">
        <v>0</v>
      </c>
      <c r="I116" s="8"/>
      <c r="J116" s="9" t="str">
        <f t="shared" si="3"/>
        <v/>
      </c>
      <c r="K116" s="10" t="s">
        <v>0</v>
      </c>
    </row>
    <row r="117" spans="1:11" ht="45" x14ac:dyDescent="0.25">
      <c r="A117" s="17" t="s">
        <v>343</v>
      </c>
      <c r="B117" s="17" t="s">
        <v>301</v>
      </c>
      <c r="C117" s="17" t="s">
        <v>302</v>
      </c>
      <c r="D117" s="17" t="s">
        <v>0</v>
      </c>
      <c r="E117" s="17" t="s">
        <v>344</v>
      </c>
      <c r="F117" s="5">
        <v>5</v>
      </c>
      <c r="G117" s="6">
        <v>5</v>
      </c>
      <c r="H117" s="7" t="s">
        <v>0</v>
      </c>
      <c r="I117" s="8"/>
      <c r="J117" s="9" t="str">
        <f t="shared" si="3"/>
        <v/>
      </c>
      <c r="K117" s="10" t="s">
        <v>0</v>
      </c>
    </row>
    <row r="118" spans="1:11" ht="45" x14ac:dyDescent="0.25">
      <c r="A118" s="17" t="s">
        <v>345</v>
      </c>
      <c r="B118" s="17" t="s">
        <v>301</v>
      </c>
      <c r="C118" s="17" t="s">
        <v>302</v>
      </c>
      <c r="D118" s="17" t="s">
        <v>0</v>
      </c>
      <c r="E118" s="17" t="s">
        <v>346</v>
      </c>
      <c r="F118" s="5">
        <v>50</v>
      </c>
      <c r="G118" s="6">
        <v>50</v>
      </c>
      <c r="H118" s="7" t="s">
        <v>0</v>
      </c>
      <c r="I118" s="8"/>
      <c r="J118" s="9" t="str">
        <f t="shared" si="3"/>
        <v/>
      </c>
      <c r="K118" s="10" t="s">
        <v>0</v>
      </c>
    </row>
    <row r="119" spans="1:11" ht="45" x14ac:dyDescent="0.25">
      <c r="A119" s="17" t="s">
        <v>347</v>
      </c>
      <c r="B119" s="17" t="s">
        <v>301</v>
      </c>
      <c r="C119" s="17" t="s">
        <v>302</v>
      </c>
      <c r="D119" s="17" t="s">
        <v>0</v>
      </c>
      <c r="E119" s="17" t="s">
        <v>348</v>
      </c>
      <c r="F119" s="5">
        <v>100</v>
      </c>
      <c r="G119" s="6">
        <v>100</v>
      </c>
      <c r="H119" s="7" t="s">
        <v>0</v>
      </c>
      <c r="I119" s="8"/>
      <c r="J119" s="9" t="str">
        <f t="shared" si="3"/>
        <v/>
      </c>
      <c r="K119" s="10" t="s">
        <v>0</v>
      </c>
    </row>
    <row r="120" spans="1:11" ht="45" x14ac:dyDescent="0.25">
      <c r="A120" s="17" t="s">
        <v>349</v>
      </c>
      <c r="B120" s="17" t="s">
        <v>301</v>
      </c>
      <c r="C120" s="17" t="s">
        <v>302</v>
      </c>
      <c r="D120" s="17" t="s">
        <v>0</v>
      </c>
      <c r="E120" s="17" t="s">
        <v>350</v>
      </c>
      <c r="F120" s="5">
        <v>50</v>
      </c>
      <c r="G120" s="6">
        <v>50</v>
      </c>
      <c r="H120" s="7" t="s">
        <v>0</v>
      </c>
      <c r="I120" s="8"/>
      <c r="J120" s="9" t="str">
        <f t="shared" si="3"/>
        <v/>
      </c>
      <c r="K120" s="10" t="s">
        <v>0</v>
      </c>
    </row>
    <row r="121" spans="1:11" ht="45" x14ac:dyDescent="0.25">
      <c r="A121" s="17" t="s">
        <v>351</v>
      </c>
      <c r="B121" s="17" t="s">
        <v>301</v>
      </c>
      <c r="C121" s="17" t="s">
        <v>302</v>
      </c>
      <c r="D121" s="17" t="s">
        <v>0</v>
      </c>
      <c r="E121" s="17" t="s">
        <v>352</v>
      </c>
      <c r="F121" s="5">
        <v>10</v>
      </c>
      <c r="G121" s="6">
        <v>10</v>
      </c>
      <c r="H121" s="7" t="s">
        <v>0</v>
      </c>
      <c r="I121" s="8"/>
      <c r="J121" s="9" t="str">
        <f t="shared" si="3"/>
        <v/>
      </c>
      <c r="K121" s="10" t="s">
        <v>0</v>
      </c>
    </row>
    <row r="122" spans="1:11" ht="45" x14ac:dyDescent="0.25">
      <c r="A122" s="17" t="s">
        <v>353</v>
      </c>
      <c r="B122" s="17" t="s">
        <v>301</v>
      </c>
      <c r="C122" s="17" t="s">
        <v>302</v>
      </c>
      <c r="D122" s="17" t="s">
        <v>0</v>
      </c>
      <c r="E122" s="17" t="s">
        <v>354</v>
      </c>
      <c r="F122" s="5">
        <v>17</v>
      </c>
      <c r="G122" s="6">
        <v>17</v>
      </c>
      <c r="H122" s="7" t="s">
        <v>0</v>
      </c>
      <c r="I122" s="8"/>
      <c r="J122" s="9" t="str">
        <f t="shared" si="3"/>
        <v/>
      </c>
      <c r="K122" s="10" t="s">
        <v>0</v>
      </c>
    </row>
    <row r="123" spans="1:11" ht="45" x14ac:dyDescent="0.25">
      <c r="A123" s="17" t="s">
        <v>355</v>
      </c>
      <c r="B123" s="17" t="s">
        <v>301</v>
      </c>
      <c r="C123" s="17" t="s">
        <v>302</v>
      </c>
      <c r="D123" s="17" t="s">
        <v>0</v>
      </c>
      <c r="E123" s="17" t="s">
        <v>356</v>
      </c>
      <c r="F123" s="5">
        <v>1</v>
      </c>
      <c r="G123" s="6">
        <v>1</v>
      </c>
      <c r="H123" s="7" t="s">
        <v>0</v>
      </c>
      <c r="I123" s="8"/>
      <c r="J123" s="9" t="str">
        <f t="shared" si="3"/>
        <v/>
      </c>
      <c r="K123" s="10" t="s">
        <v>0</v>
      </c>
    </row>
    <row r="124" spans="1:11" ht="45" x14ac:dyDescent="0.25">
      <c r="A124" s="17" t="s">
        <v>357</v>
      </c>
      <c r="B124" s="17" t="s">
        <v>301</v>
      </c>
      <c r="C124" s="17" t="s">
        <v>302</v>
      </c>
      <c r="D124" s="17" t="s">
        <v>0</v>
      </c>
      <c r="E124" s="17" t="s">
        <v>358</v>
      </c>
      <c r="F124" s="5">
        <v>0</v>
      </c>
      <c r="G124" s="6">
        <v>0</v>
      </c>
      <c r="H124" s="7" t="s">
        <v>0</v>
      </c>
      <c r="I124" s="8"/>
      <c r="J124" s="9" t="str">
        <f t="shared" si="3"/>
        <v/>
      </c>
      <c r="K124" s="10" t="s">
        <v>0</v>
      </c>
    </row>
    <row r="125" spans="1:11" ht="45" x14ac:dyDescent="0.25">
      <c r="A125" s="17" t="s">
        <v>359</v>
      </c>
      <c r="B125" s="17" t="s">
        <v>301</v>
      </c>
      <c r="C125" s="17" t="s">
        <v>302</v>
      </c>
      <c r="D125" s="17" t="s">
        <v>0</v>
      </c>
      <c r="E125" s="17" t="s">
        <v>360</v>
      </c>
      <c r="F125" s="5">
        <v>1</v>
      </c>
      <c r="G125" s="6">
        <v>1</v>
      </c>
      <c r="H125" s="7" t="s">
        <v>0</v>
      </c>
      <c r="I125" s="8"/>
      <c r="J125" s="9" t="str">
        <f t="shared" si="3"/>
        <v/>
      </c>
      <c r="K125" s="10" t="s">
        <v>0</v>
      </c>
    </row>
    <row r="126" spans="1:11" ht="45" x14ac:dyDescent="0.25">
      <c r="A126" s="17" t="s">
        <v>361</v>
      </c>
      <c r="B126" s="17" t="s">
        <v>301</v>
      </c>
      <c r="C126" s="17" t="s">
        <v>302</v>
      </c>
      <c r="D126" s="17" t="s">
        <v>0</v>
      </c>
      <c r="E126" s="17" t="s">
        <v>362</v>
      </c>
      <c r="F126" s="5">
        <v>0</v>
      </c>
      <c r="G126" s="6">
        <v>0</v>
      </c>
      <c r="H126" s="7" t="s">
        <v>0</v>
      </c>
      <c r="I126" s="8"/>
      <c r="J126" s="9" t="str">
        <f t="shared" si="3"/>
        <v/>
      </c>
      <c r="K126" s="10" t="s">
        <v>0</v>
      </c>
    </row>
    <row r="127" spans="1:11" ht="45" x14ac:dyDescent="0.25">
      <c r="A127" s="17" t="s">
        <v>363</v>
      </c>
      <c r="B127" s="17" t="s">
        <v>301</v>
      </c>
      <c r="C127" s="17" t="s">
        <v>302</v>
      </c>
      <c r="D127" s="17" t="s">
        <v>0</v>
      </c>
      <c r="E127" s="17" t="s">
        <v>364</v>
      </c>
      <c r="F127" s="5">
        <v>1</v>
      </c>
      <c r="G127" s="6">
        <v>1</v>
      </c>
      <c r="H127" s="7" t="s">
        <v>365</v>
      </c>
      <c r="I127" s="8"/>
      <c r="J127" s="9" t="str">
        <f t="shared" si="3"/>
        <v/>
      </c>
      <c r="K127" s="10" t="s">
        <v>0</v>
      </c>
    </row>
    <row r="128" spans="1:11" ht="45" x14ac:dyDescent="0.25">
      <c r="A128" s="17" t="s">
        <v>366</v>
      </c>
      <c r="B128" s="17" t="s">
        <v>301</v>
      </c>
      <c r="C128" s="17" t="s">
        <v>302</v>
      </c>
      <c r="D128" s="17" t="s">
        <v>0</v>
      </c>
      <c r="E128" s="17" t="s">
        <v>367</v>
      </c>
      <c r="F128" s="5" t="s">
        <v>78</v>
      </c>
      <c r="G128" s="6">
        <v>1</v>
      </c>
      <c r="H128" s="7" t="s">
        <v>0</v>
      </c>
      <c r="I128" s="8"/>
      <c r="J128" s="9" t="str">
        <f t="shared" si="3"/>
        <v/>
      </c>
      <c r="K128" s="10" t="s">
        <v>0</v>
      </c>
    </row>
    <row r="129" spans="1:11" x14ac:dyDescent="0.25">
      <c r="A129" s="18" t="s">
        <v>368</v>
      </c>
      <c r="B129" s="18" t="s">
        <v>369</v>
      </c>
      <c r="C129" s="18" t="s">
        <v>370</v>
      </c>
      <c r="D129" s="18" t="s">
        <v>0</v>
      </c>
      <c r="E129" s="18" t="s">
        <v>371</v>
      </c>
      <c r="F129" s="5">
        <v>1</v>
      </c>
      <c r="G129" s="6">
        <v>1</v>
      </c>
      <c r="H129" s="7" t="s">
        <v>0</v>
      </c>
      <c r="I129" s="8"/>
      <c r="J129" s="9" t="str">
        <f t="shared" si="3"/>
        <v/>
      </c>
      <c r="K129" s="10" t="s">
        <v>0</v>
      </c>
    </row>
    <row r="130" spans="1:11" x14ac:dyDescent="0.25">
      <c r="A130" s="18" t="s">
        <v>372</v>
      </c>
      <c r="B130" s="18" t="s">
        <v>369</v>
      </c>
      <c r="C130" s="18" t="s">
        <v>370</v>
      </c>
      <c r="D130" s="18" t="s">
        <v>0</v>
      </c>
      <c r="E130" s="18" t="s">
        <v>373</v>
      </c>
      <c r="F130" s="5">
        <v>1</v>
      </c>
      <c r="G130" s="6">
        <v>1</v>
      </c>
      <c r="H130" s="7" t="s">
        <v>0</v>
      </c>
      <c r="I130" s="8"/>
      <c r="J130" s="9" t="str">
        <f t="shared" ref="J130:J161" si="4">IF(OR(G130="",I130=""),"",G130*I130)</f>
        <v/>
      </c>
      <c r="K130" s="10" t="s">
        <v>0</v>
      </c>
    </row>
    <row r="131" spans="1:11" ht="30" x14ac:dyDescent="0.25">
      <c r="A131" s="18" t="s">
        <v>374</v>
      </c>
      <c r="B131" s="18" t="s">
        <v>369</v>
      </c>
      <c r="C131" s="18" t="s">
        <v>370</v>
      </c>
      <c r="D131" s="18" t="s">
        <v>0</v>
      </c>
      <c r="E131" s="18" t="s">
        <v>375</v>
      </c>
      <c r="F131" s="5">
        <v>1</v>
      </c>
      <c r="G131" s="6">
        <v>1</v>
      </c>
      <c r="H131" s="7" t="s">
        <v>0</v>
      </c>
      <c r="I131" s="8"/>
      <c r="J131" s="9" t="str">
        <f t="shared" si="4"/>
        <v/>
      </c>
      <c r="K131" s="10" t="s">
        <v>0</v>
      </c>
    </row>
    <row r="132" spans="1:11" x14ac:dyDescent="0.25">
      <c r="A132" s="18" t="s">
        <v>376</v>
      </c>
      <c r="B132" s="18" t="s">
        <v>369</v>
      </c>
      <c r="C132" s="18" t="s">
        <v>370</v>
      </c>
      <c r="D132" s="18" t="s">
        <v>0</v>
      </c>
      <c r="E132" s="18" t="s">
        <v>377</v>
      </c>
      <c r="F132" s="5">
        <v>1</v>
      </c>
      <c r="G132" s="6">
        <v>1</v>
      </c>
      <c r="H132" s="7" t="s">
        <v>0</v>
      </c>
      <c r="I132" s="8"/>
      <c r="J132" s="9" t="str">
        <f t="shared" si="4"/>
        <v/>
      </c>
      <c r="K132" s="10" t="s">
        <v>0</v>
      </c>
    </row>
    <row r="133" spans="1:11" ht="30" x14ac:dyDescent="0.25">
      <c r="A133" s="18" t="s">
        <v>378</v>
      </c>
      <c r="B133" s="18" t="s">
        <v>369</v>
      </c>
      <c r="C133" s="18" t="s">
        <v>370</v>
      </c>
      <c r="D133" s="18" t="s">
        <v>0</v>
      </c>
      <c r="E133" s="18" t="s">
        <v>379</v>
      </c>
      <c r="F133" s="5">
        <v>1</v>
      </c>
      <c r="G133" s="6">
        <v>1</v>
      </c>
      <c r="H133" s="7" t="s">
        <v>0</v>
      </c>
      <c r="I133" s="8"/>
      <c r="J133" s="9" t="str">
        <f t="shared" si="4"/>
        <v/>
      </c>
      <c r="K133" s="10" t="s">
        <v>0</v>
      </c>
    </row>
    <row r="134" spans="1:11" ht="30" x14ac:dyDescent="0.25">
      <c r="A134" s="18" t="s">
        <v>380</v>
      </c>
      <c r="B134" s="18" t="s">
        <v>369</v>
      </c>
      <c r="C134" s="18" t="s">
        <v>370</v>
      </c>
      <c r="D134" s="18" t="s">
        <v>0</v>
      </c>
      <c r="E134" s="18" t="s">
        <v>381</v>
      </c>
      <c r="F134" s="5">
        <v>2</v>
      </c>
      <c r="G134" s="6">
        <v>2</v>
      </c>
      <c r="H134" s="7" t="s">
        <v>0</v>
      </c>
      <c r="I134" s="8"/>
      <c r="J134" s="9" t="str">
        <f t="shared" si="4"/>
        <v/>
      </c>
      <c r="K134" s="10" t="s">
        <v>0</v>
      </c>
    </row>
    <row r="135" spans="1:11" x14ac:dyDescent="0.25">
      <c r="A135" s="18" t="s">
        <v>382</v>
      </c>
      <c r="B135" s="18" t="s">
        <v>369</v>
      </c>
      <c r="C135" s="18" t="s">
        <v>370</v>
      </c>
      <c r="D135" s="18" t="s">
        <v>0</v>
      </c>
      <c r="E135" s="18" t="s">
        <v>383</v>
      </c>
      <c r="F135" s="5">
        <v>1</v>
      </c>
      <c r="G135" s="6">
        <v>1</v>
      </c>
      <c r="H135" s="7" t="s">
        <v>0</v>
      </c>
      <c r="I135" s="8"/>
      <c r="J135" s="9" t="str">
        <f t="shared" si="4"/>
        <v/>
      </c>
      <c r="K135" s="10" t="s">
        <v>0</v>
      </c>
    </row>
  </sheetData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9"/>
  <sheetViews>
    <sheetView showGridLines="0" workbookViewId="0">
      <selection activeCell="B21" sqref="B21"/>
    </sheetView>
  </sheetViews>
  <sheetFormatPr defaultRowHeight="15" x14ac:dyDescent="0.25"/>
  <cols>
    <col min="1" max="1" width="34" customWidth="1"/>
    <col min="2" max="2" width="22" customWidth="1"/>
  </cols>
  <sheetData>
    <row r="1" spans="1:2" ht="21" x14ac:dyDescent="0.35">
      <c r="A1" s="1" t="s">
        <v>384</v>
      </c>
    </row>
    <row r="3" spans="1:2" x14ac:dyDescent="0.25">
      <c r="A3" s="2" t="s">
        <v>385</v>
      </c>
      <c r="B3" s="34">
        <v>0.08</v>
      </c>
    </row>
    <row r="5" spans="1:2" x14ac:dyDescent="0.25">
      <c r="A5" s="19" t="s">
        <v>2</v>
      </c>
      <c r="B5" s="19" t="s">
        <v>10</v>
      </c>
    </row>
    <row r="6" spans="1:2" x14ac:dyDescent="0.25">
      <c r="A6" s="20" t="s">
        <v>13</v>
      </c>
      <c r="B6" s="21">
        <f>SUMIF(Pozycje!$B$2:$B$135,A6,Pozycje!$J$2:$J$135)</f>
        <v>0</v>
      </c>
    </row>
    <row r="7" spans="1:2" x14ac:dyDescent="0.25">
      <c r="A7" s="22" t="s">
        <v>109</v>
      </c>
      <c r="B7" s="21">
        <f>SUMIF(Pozycje!$B$2:$B$135,A7,Pozycje!$J$2:$J$135)</f>
        <v>0</v>
      </c>
    </row>
    <row r="8" spans="1:2" x14ac:dyDescent="0.25">
      <c r="A8" s="23" t="s">
        <v>121</v>
      </c>
      <c r="B8" s="21">
        <f>SUMIF(Pozycje!$B$2:$B$135,A8,Pozycje!$J$2:$J$135)</f>
        <v>0</v>
      </c>
    </row>
    <row r="9" spans="1:2" x14ac:dyDescent="0.25">
      <c r="A9" s="24" t="s">
        <v>129</v>
      </c>
      <c r="B9" s="21">
        <f>SUMIF(Pozycje!$B$2:$B$135,A9,Pozycje!$J$2:$J$135)</f>
        <v>0</v>
      </c>
    </row>
    <row r="10" spans="1:2" x14ac:dyDescent="0.25">
      <c r="A10" s="25" t="s">
        <v>185</v>
      </c>
      <c r="B10" s="21">
        <f>SUMIF(Pozycje!$B$2:$B$135,A10,Pozycje!$J$2:$J$135)</f>
        <v>0</v>
      </c>
    </row>
    <row r="11" spans="1:2" x14ac:dyDescent="0.25">
      <c r="A11" s="26" t="s">
        <v>267</v>
      </c>
      <c r="B11" s="21">
        <f>SUMIF(Pozycje!$B$2:$B$135,A11,Pozycje!$J$2:$J$135)</f>
        <v>0</v>
      </c>
    </row>
    <row r="12" spans="1:2" x14ac:dyDescent="0.25">
      <c r="A12" s="27" t="s">
        <v>289</v>
      </c>
      <c r="B12" s="21">
        <f>SUMIF(Pozycje!$B$2:$B$135,A12,Pozycje!$J$2:$J$135)</f>
        <v>0</v>
      </c>
    </row>
    <row r="13" spans="1:2" x14ac:dyDescent="0.25">
      <c r="A13" s="28" t="s">
        <v>301</v>
      </c>
      <c r="B13" s="21">
        <f>SUMIF(Pozycje!$B$2:$B$135,A13,Pozycje!$J$2:$J$135)</f>
        <v>0</v>
      </c>
    </row>
    <row r="14" spans="1:2" x14ac:dyDescent="0.25">
      <c r="A14" s="29" t="s">
        <v>369</v>
      </c>
      <c r="B14" s="21">
        <f>SUMIF(Pozycje!$B$2:$B$135,A14,Pozycje!$J$2:$J$135)</f>
        <v>0</v>
      </c>
    </row>
    <row r="16" spans="1:2" x14ac:dyDescent="0.25">
      <c r="A16" s="30" t="s">
        <v>386</v>
      </c>
      <c r="B16" s="31">
        <f>SUM(B6:B14)</f>
        <v>0</v>
      </c>
    </row>
    <row r="17" spans="1:2" x14ac:dyDescent="0.25">
      <c r="A17" s="30" t="s">
        <v>387</v>
      </c>
      <c r="B17" s="31">
        <f>B16*$B$3</f>
        <v>0</v>
      </c>
    </row>
    <row r="18" spans="1:2" x14ac:dyDescent="0.25">
      <c r="A18" s="32" t="s">
        <v>388</v>
      </c>
      <c r="B18" s="33">
        <f>B16+B17</f>
        <v>0</v>
      </c>
    </row>
    <row r="19" spans="1:2" ht="36" customHeight="1" x14ac:dyDescent="0.25">
      <c r="A19" s="35"/>
      <c r="B19" s="36"/>
    </row>
  </sheetData>
  <mergeCells count="1">
    <mergeCell ref="A19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Pozycje</vt:lpstr>
      <vt:lpstr>Podsumowanie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Jerzy Lipinski</cp:lastModifiedBy>
  <dcterms:modified xsi:type="dcterms:W3CDTF">2026-03-12T14:08:41Z</dcterms:modified>
</cp:coreProperties>
</file>